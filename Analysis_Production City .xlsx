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antiagodepablo/Desktop/Santiago /Work/Qube Oportunities/Production City /"/>
    </mc:Choice>
  </mc:AlternateContent>
  <xr:revisionPtr revIDLastSave="0" documentId="13_ncr:1_{BE975423-7A48-DB47-B78F-E2FBB03DE3D0}" xr6:coauthVersionLast="47" xr6:coauthVersionMax="47" xr10:uidLastSave="{00000000-0000-0000-0000-000000000000}"/>
  <bookViews>
    <workbookView xWindow="300" yWindow="760" windowWidth="29400" windowHeight="17120" tabRatio="500" activeTab="2" xr2:uid="{00000000-000D-0000-FFFF-FFFF00000000}"/>
  </bookViews>
  <sheets>
    <sheet name="1.Parking" sheetId="1" r:id="rId1"/>
    <sheet name="2.Program" sheetId="2" r:id="rId2"/>
    <sheet name="3.Lifts " sheetId="7" r:id="rId3"/>
    <sheet name="4.Garbage Room" sheetId="6" r:id="rId4"/>
    <sheet name="4.Conclusions 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2" i="7" l="1"/>
  <c r="D68" i="7"/>
  <c r="B68" i="7"/>
  <c r="D63" i="7"/>
  <c r="B63" i="7"/>
  <c r="C61" i="7"/>
  <c r="B61" i="7"/>
  <c r="C60" i="7"/>
  <c r="B60" i="7"/>
  <c r="B53" i="7"/>
  <c r="G12" i="7"/>
  <c r="B54" i="7"/>
  <c r="B46" i="7"/>
  <c r="B44" i="7"/>
  <c r="B48" i="7" s="1"/>
  <c r="B37" i="7"/>
  <c r="C34" i="7"/>
  <c r="B34" i="7"/>
  <c r="C33" i="7"/>
  <c r="B33" i="7"/>
  <c r="C32" i="7"/>
  <c r="B32" i="7"/>
  <c r="C27" i="7"/>
  <c r="B27" i="7"/>
  <c r="C25" i="7"/>
  <c r="B25" i="7"/>
  <c r="G20" i="7"/>
  <c r="F20" i="7"/>
  <c r="E20" i="7"/>
  <c r="D20" i="7"/>
  <c r="C20" i="7"/>
  <c r="B20" i="7"/>
  <c r="G19" i="7"/>
  <c r="F19" i="7"/>
  <c r="E19" i="7"/>
  <c r="D19" i="7"/>
  <c r="C19" i="7"/>
  <c r="B19" i="7"/>
  <c r="G18" i="7"/>
  <c r="F18" i="7"/>
  <c r="E18" i="7"/>
  <c r="D18" i="7"/>
  <c r="C18" i="7"/>
  <c r="B18" i="7"/>
  <c r="G17" i="7"/>
  <c r="F17" i="7"/>
  <c r="E17" i="7"/>
  <c r="D17" i="7"/>
  <c r="C17" i="7"/>
  <c r="B17" i="7"/>
  <c r="G16" i="7"/>
  <c r="F16" i="7"/>
  <c r="E16" i="7"/>
  <c r="D16" i="7"/>
  <c r="C16" i="7"/>
  <c r="B16" i="7"/>
  <c r="G15" i="7"/>
  <c r="F15" i="7"/>
  <c r="E15" i="7"/>
  <c r="D15" i="7"/>
  <c r="C15" i="7"/>
  <c r="B15" i="7"/>
  <c r="G14" i="7"/>
  <c r="F14" i="7"/>
  <c r="E14" i="7"/>
  <c r="D14" i="7"/>
  <c r="C14" i="7"/>
  <c r="B14" i="7"/>
  <c r="G13" i="7"/>
  <c r="F13" i="7"/>
  <c r="E13" i="7"/>
  <c r="D13" i="7"/>
  <c r="C13" i="7"/>
  <c r="B13" i="7"/>
  <c r="F12" i="7"/>
  <c r="E12" i="7"/>
  <c r="D12" i="7"/>
  <c r="C12" i="7"/>
  <c r="B12" i="7"/>
  <c r="B16" i="6"/>
  <c r="B22" i="6"/>
  <c r="B17" i="6"/>
  <c r="B18" i="6" s="1"/>
  <c r="B19" i="6" s="1"/>
  <c r="B20" i="6" s="1"/>
  <c r="B21" i="6" s="1"/>
  <c r="B24" i="6" s="1"/>
  <c r="B55" i="7" l="1"/>
  <c r="D191" i="2"/>
  <c r="D185" i="2"/>
  <c r="C185" i="2"/>
  <c r="C174" i="2"/>
  <c r="C182" i="2"/>
  <c r="C181" i="2"/>
  <c r="C180" i="2"/>
  <c r="C179" i="2"/>
  <c r="C178" i="2"/>
  <c r="C177" i="2"/>
  <c r="C176" i="2"/>
  <c r="C175" i="2"/>
  <c r="C173" i="2"/>
  <c r="E156" i="2"/>
  <c r="D156" i="2"/>
  <c r="E154" i="2"/>
  <c r="D154" i="2"/>
  <c r="E153" i="2"/>
  <c r="D153" i="2"/>
  <c r="E152" i="2"/>
  <c r="D152" i="2"/>
  <c r="E151" i="2"/>
  <c r="D151" i="2"/>
  <c r="E149" i="2"/>
  <c r="D149" i="2"/>
  <c r="E148" i="2"/>
  <c r="D148" i="2"/>
  <c r="E147" i="2"/>
  <c r="D147" i="2"/>
  <c r="E146" i="2"/>
  <c r="D146" i="2"/>
  <c r="E144" i="2"/>
  <c r="E145" i="2" s="1"/>
  <c r="D144" i="2"/>
  <c r="G159" i="2"/>
  <c r="G160" i="2"/>
  <c r="C169" i="2"/>
  <c r="C168" i="2"/>
  <c r="D111" i="2"/>
  <c r="D110" i="2"/>
  <c r="D109" i="2"/>
  <c r="D108" i="2"/>
  <c r="C167" i="2"/>
  <c r="C166" i="2"/>
  <c r="B18" i="1"/>
  <c r="D18" i="1" s="1"/>
  <c r="D112" i="2"/>
  <c r="C170" i="2" s="1"/>
  <c r="D116" i="2"/>
  <c r="C172" i="2" s="1"/>
  <c r="D113" i="2"/>
  <c r="C171" i="2" s="1"/>
  <c r="D107" i="2"/>
  <c r="D106" i="2"/>
  <c r="D105" i="2"/>
  <c r="D104" i="2"/>
  <c r="D103" i="2"/>
  <c r="E17" i="2"/>
  <c r="F17" i="2" s="1"/>
  <c r="D17" i="2"/>
  <c r="I17" i="2" s="1"/>
  <c r="E16" i="2"/>
  <c r="F16" i="2" s="1"/>
  <c r="D16" i="2"/>
  <c r="I16" i="2" s="1"/>
  <c r="E15" i="2"/>
  <c r="F15" i="2" s="1"/>
  <c r="D15" i="2"/>
  <c r="I15" i="2" s="1"/>
  <c r="E14" i="2"/>
  <c r="F14" i="2" s="1"/>
  <c r="D14" i="2"/>
  <c r="I14" i="2" s="1"/>
  <c r="E13" i="2"/>
  <c r="F13" i="2" s="1"/>
  <c r="D13" i="2"/>
  <c r="I13" i="2" s="1"/>
  <c r="E12" i="2"/>
  <c r="F12" i="2" s="1"/>
  <c r="D12" i="2"/>
  <c r="I12" i="2" s="1"/>
  <c r="E11" i="2"/>
  <c r="F11" i="2" s="1"/>
  <c r="D11" i="2"/>
  <c r="I11" i="2" s="1"/>
  <c r="E10" i="2"/>
  <c r="F10" i="2" s="1"/>
  <c r="D10" i="2"/>
  <c r="I10" i="2" s="1"/>
  <c r="E9" i="2"/>
  <c r="F9" i="2" s="1"/>
  <c r="D9" i="2"/>
  <c r="I9" i="2" s="1"/>
  <c r="E94" i="2"/>
  <c r="F94" i="2" s="1"/>
  <c r="D94" i="2"/>
  <c r="I94" i="2" s="1"/>
  <c r="E93" i="2"/>
  <c r="F93" i="2" s="1"/>
  <c r="D93" i="2"/>
  <c r="I93" i="2" s="1"/>
  <c r="E92" i="2"/>
  <c r="F92" i="2" s="1"/>
  <c r="D92" i="2"/>
  <c r="I92" i="2" s="1"/>
  <c r="E91" i="2"/>
  <c r="F91" i="2" s="1"/>
  <c r="D91" i="2"/>
  <c r="I91" i="2" s="1"/>
  <c r="E90" i="2"/>
  <c r="F90" i="2" s="1"/>
  <c r="D90" i="2"/>
  <c r="I90" i="2" s="1"/>
  <c r="E89" i="2"/>
  <c r="F89" i="2" s="1"/>
  <c r="D89" i="2"/>
  <c r="I89" i="2" s="1"/>
  <c r="E88" i="2"/>
  <c r="F88" i="2" s="1"/>
  <c r="D88" i="2"/>
  <c r="I88" i="2" s="1"/>
  <c r="E87" i="2"/>
  <c r="F87" i="2" s="1"/>
  <c r="D87" i="2"/>
  <c r="I87" i="2" s="1"/>
  <c r="E86" i="2"/>
  <c r="F86" i="2" s="1"/>
  <c r="D86" i="2"/>
  <c r="I86" i="2" s="1"/>
  <c r="E85" i="2"/>
  <c r="D85" i="2"/>
  <c r="I85" i="2" s="1"/>
  <c r="E83" i="2"/>
  <c r="F83" i="2" s="1"/>
  <c r="D83" i="2"/>
  <c r="I83" i="2" s="1"/>
  <c r="E82" i="2"/>
  <c r="F82" i="2" s="1"/>
  <c r="D82" i="2"/>
  <c r="I82" i="2" s="1"/>
  <c r="E81" i="2"/>
  <c r="F81" i="2" s="1"/>
  <c r="D81" i="2"/>
  <c r="I81" i="2" s="1"/>
  <c r="E80" i="2"/>
  <c r="F80" i="2" s="1"/>
  <c r="D80" i="2"/>
  <c r="I80" i="2" s="1"/>
  <c r="E79" i="2"/>
  <c r="F79" i="2" s="1"/>
  <c r="D79" i="2"/>
  <c r="I79" i="2" s="1"/>
  <c r="E78" i="2"/>
  <c r="F78" i="2" s="1"/>
  <c r="D78" i="2"/>
  <c r="I78" i="2" s="1"/>
  <c r="E77" i="2"/>
  <c r="F77" i="2" s="1"/>
  <c r="D77" i="2"/>
  <c r="I77" i="2" s="1"/>
  <c r="E76" i="2"/>
  <c r="F76" i="2" s="1"/>
  <c r="D76" i="2"/>
  <c r="I76" i="2" s="1"/>
  <c r="E75" i="2"/>
  <c r="F75" i="2" s="1"/>
  <c r="D75" i="2"/>
  <c r="I75" i="2" s="1"/>
  <c r="E74" i="2"/>
  <c r="F74" i="2" s="1"/>
  <c r="D74" i="2"/>
  <c r="I74" i="2" s="1"/>
  <c r="E72" i="2"/>
  <c r="F72" i="2" s="1"/>
  <c r="D72" i="2"/>
  <c r="I72" i="2" s="1"/>
  <c r="E71" i="2"/>
  <c r="F71" i="2" s="1"/>
  <c r="D71" i="2"/>
  <c r="I71" i="2" s="1"/>
  <c r="E70" i="2"/>
  <c r="F70" i="2" s="1"/>
  <c r="D70" i="2"/>
  <c r="I70" i="2" s="1"/>
  <c r="E69" i="2"/>
  <c r="F69" i="2" s="1"/>
  <c r="D69" i="2"/>
  <c r="I69" i="2" s="1"/>
  <c r="E68" i="2"/>
  <c r="F68" i="2" s="1"/>
  <c r="D68" i="2"/>
  <c r="I68" i="2" s="1"/>
  <c r="E67" i="2"/>
  <c r="F67" i="2" s="1"/>
  <c r="D67" i="2"/>
  <c r="I67" i="2" s="1"/>
  <c r="E66" i="2"/>
  <c r="F66" i="2" s="1"/>
  <c r="D66" i="2"/>
  <c r="I66" i="2" s="1"/>
  <c r="E65" i="2"/>
  <c r="F65" i="2" s="1"/>
  <c r="D65" i="2"/>
  <c r="I65" i="2" s="1"/>
  <c r="E64" i="2"/>
  <c r="F64" i="2" s="1"/>
  <c r="D64" i="2"/>
  <c r="I64" i="2" s="1"/>
  <c r="E63" i="2"/>
  <c r="F63" i="2" s="1"/>
  <c r="D63" i="2"/>
  <c r="I63" i="2" s="1"/>
  <c r="E61" i="2"/>
  <c r="F61" i="2" s="1"/>
  <c r="D61" i="2"/>
  <c r="I61" i="2" s="1"/>
  <c r="E60" i="2"/>
  <c r="F60" i="2" s="1"/>
  <c r="D60" i="2"/>
  <c r="I60" i="2" s="1"/>
  <c r="E59" i="2"/>
  <c r="F59" i="2" s="1"/>
  <c r="D59" i="2"/>
  <c r="I59" i="2" s="1"/>
  <c r="E58" i="2"/>
  <c r="F58" i="2" s="1"/>
  <c r="D58" i="2"/>
  <c r="I58" i="2" s="1"/>
  <c r="E57" i="2"/>
  <c r="F57" i="2" s="1"/>
  <c r="D57" i="2"/>
  <c r="I57" i="2" s="1"/>
  <c r="E56" i="2"/>
  <c r="F56" i="2" s="1"/>
  <c r="D56" i="2"/>
  <c r="I56" i="2" s="1"/>
  <c r="E55" i="2"/>
  <c r="F55" i="2" s="1"/>
  <c r="D55" i="2"/>
  <c r="I55" i="2" s="1"/>
  <c r="E54" i="2"/>
  <c r="F54" i="2" s="1"/>
  <c r="D54" i="2"/>
  <c r="I54" i="2" s="1"/>
  <c r="E53" i="2"/>
  <c r="F53" i="2" s="1"/>
  <c r="D53" i="2"/>
  <c r="I53" i="2" s="1"/>
  <c r="E52" i="2"/>
  <c r="F52" i="2" s="1"/>
  <c r="D52" i="2"/>
  <c r="I52" i="2" s="1"/>
  <c r="E50" i="2"/>
  <c r="F50" i="2" s="1"/>
  <c r="D50" i="2"/>
  <c r="I50" i="2" s="1"/>
  <c r="E49" i="2"/>
  <c r="F49" i="2" s="1"/>
  <c r="D49" i="2"/>
  <c r="I49" i="2" s="1"/>
  <c r="E48" i="2"/>
  <c r="F48" i="2" s="1"/>
  <c r="D48" i="2"/>
  <c r="I48" i="2" s="1"/>
  <c r="E47" i="2"/>
  <c r="F47" i="2" s="1"/>
  <c r="D47" i="2"/>
  <c r="I47" i="2" s="1"/>
  <c r="E46" i="2"/>
  <c r="F46" i="2" s="1"/>
  <c r="D46" i="2"/>
  <c r="I46" i="2" s="1"/>
  <c r="E45" i="2"/>
  <c r="F45" i="2" s="1"/>
  <c r="D45" i="2"/>
  <c r="I45" i="2" s="1"/>
  <c r="E44" i="2"/>
  <c r="F44" i="2" s="1"/>
  <c r="D44" i="2"/>
  <c r="I44" i="2" s="1"/>
  <c r="E43" i="2"/>
  <c r="F43" i="2" s="1"/>
  <c r="D43" i="2"/>
  <c r="I43" i="2" s="1"/>
  <c r="E42" i="2"/>
  <c r="F42" i="2" s="1"/>
  <c r="D42" i="2"/>
  <c r="I42" i="2" s="1"/>
  <c r="E41" i="2"/>
  <c r="F41" i="2" s="1"/>
  <c r="D41" i="2"/>
  <c r="I41" i="2" s="1"/>
  <c r="E39" i="2"/>
  <c r="F39" i="2" s="1"/>
  <c r="D39" i="2"/>
  <c r="I39" i="2" s="1"/>
  <c r="E38" i="2"/>
  <c r="F38" i="2" s="1"/>
  <c r="D38" i="2"/>
  <c r="I38" i="2" s="1"/>
  <c r="E37" i="2"/>
  <c r="F37" i="2" s="1"/>
  <c r="D37" i="2"/>
  <c r="I37" i="2" s="1"/>
  <c r="E36" i="2"/>
  <c r="F36" i="2" s="1"/>
  <c r="D36" i="2"/>
  <c r="I36" i="2" s="1"/>
  <c r="E35" i="2"/>
  <c r="F35" i="2" s="1"/>
  <c r="D35" i="2"/>
  <c r="I35" i="2" s="1"/>
  <c r="E34" i="2"/>
  <c r="F34" i="2" s="1"/>
  <c r="D34" i="2"/>
  <c r="I34" i="2" s="1"/>
  <c r="E33" i="2"/>
  <c r="F33" i="2" s="1"/>
  <c r="D33" i="2"/>
  <c r="I33" i="2" s="1"/>
  <c r="E32" i="2"/>
  <c r="F32" i="2" s="1"/>
  <c r="D32" i="2"/>
  <c r="I32" i="2" s="1"/>
  <c r="E31" i="2"/>
  <c r="F31" i="2" s="1"/>
  <c r="D31" i="2"/>
  <c r="I31" i="2" s="1"/>
  <c r="E30" i="2"/>
  <c r="F30" i="2" s="1"/>
  <c r="D30" i="2"/>
  <c r="I30" i="2" s="1"/>
  <c r="E28" i="2"/>
  <c r="F28" i="2" s="1"/>
  <c r="D28" i="2"/>
  <c r="I28" i="2" s="1"/>
  <c r="E27" i="2"/>
  <c r="F27" i="2" s="1"/>
  <c r="D27" i="2"/>
  <c r="I27" i="2" s="1"/>
  <c r="E26" i="2"/>
  <c r="F26" i="2" s="1"/>
  <c r="D26" i="2"/>
  <c r="I26" i="2" s="1"/>
  <c r="E25" i="2"/>
  <c r="F25" i="2" s="1"/>
  <c r="D25" i="2"/>
  <c r="I25" i="2" s="1"/>
  <c r="E24" i="2"/>
  <c r="F24" i="2" s="1"/>
  <c r="D24" i="2"/>
  <c r="I24" i="2" s="1"/>
  <c r="E23" i="2"/>
  <c r="F23" i="2" s="1"/>
  <c r="D23" i="2"/>
  <c r="I23" i="2" s="1"/>
  <c r="E22" i="2"/>
  <c r="F22" i="2" s="1"/>
  <c r="D22" i="2"/>
  <c r="I22" i="2" s="1"/>
  <c r="E21" i="2"/>
  <c r="F21" i="2" s="1"/>
  <c r="D21" i="2"/>
  <c r="I21" i="2" s="1"/>
  <c r="E20" i="2"/>
  <c r="F20" i="2" s="1"/>
  <c r="D20" i="2"/>
  <c r="I20" i="2" s="1"/>
  <c r="E19" i="2"/>
  <c r="F19" i="2" s="1"/>
  <c r="D19" i="2"/>
  <c r="I19" i="2" s="1"/>
  <c r="C95" i="2"/>
  <c r="C84" i="2"/>
  <c r="C73" i="2"/>
  <c r="C62" i="2"/>
  <c r="C51" i="2"/>
  <c r="C40" i="2"/>
  <c r="C29" i="2"/>
  <c r="C18" i="2"/>
  <c r="D135" i="2"/>
  <c r="D134" i="2"/>
  <c r="B7" i="1"/>
  <c r="B11" i="1" s="1"/>
  <c r="D5" i="1"/>
  <c r="C7" i="1"/>
  <c r="D6" i="1"/>
  <c r="F29" i="2" l="1"/>
  <c r="F51" i="2"/>
  <c r="F73" i="2"/>
  <c r="F18" i="2"/>
  <c r="F40" i="2"/>
  <c r="F62" i="2"/>
  <c r="F84" i="2"/>
  <c r="G9" i="2"/>
  <c r="F85" i="2"/>
  <c r="F95" i="2" s="1"/>
  <c r="C183" i="2"/>
  <c r="C190" i="2" s="1"/>
  <c r="E150" i="2"/>
  <c r="E155" i="2"/>
  <c r="G144" i="2"/>
  <c r="C187" i="2"/>
  <c r="C188" i="2"/>
  <c r="C164" i="2"/>
  <c r="C165" i="2"/>
  <c r="D125" i="2"/>
  <c r="I29" i="2"/>
  <c r="I51" i="2"/>
  <c r="I73" i="2"/>
  <c r="I95" i="2"/>
  <c r="I40" i="2"/>
  <c r="I62" i="2"/>
  <c r="I84" i="2"/>
  <c r="I18" i="2"/>
  <c r="G11" i="2"/>
  <c r="H11" i="2" s="1"/>
  <c r="G15" i="2"/>
  <c r="H15" i="2" s="1"/>
  <c r="G28" i="2"/>
  <c r="H28" i="2" s="1"/>
  <c r="G33" i="2"/>
  <c r="H33" i="2" s="1"/>
  <c r="G46" i="2"/>
  <c r="H46" i="2" s="1"/>
  <c r="G50" i="2"/>
  <c r="H50" i="2" s="1"/>
  <c r="G55" i="2"/>
  <c r="H55" i="2" s="1"/>
  <c r="G59" i="2"/>
  <c r="H59" i="2" s="1"/>
  <c r="G68" i="2"/>
  <c r="H68" i="2" s="1"/>
  <c r="G72" i="2"/>
  <c r="H72" i="2" s="1"/>
  <c r="G77" i="2"/>
  <c r="H77" i="2" s="1"/>
  <c r="G81" i="2"/>
  <c r="H81" i="2" s="1"/>
  <c r="G86" i="2"/>
  <c r="H86" i="2" s="1"/>
  <c r="G10" i="2"/>
  <c r="H10" i="2" s="1"/>
  <c r="G14" i="2"/>
  <c r="H14" i="2" s="1"/>
  <c r="G23" i="2"/>
  <c r="H23" i="2" s="1"/>
  <c r="G27" i="2"/>
  <c r="H27" i="2" s="1"/>
  <c r="G32" i="2"/>
  <c r="H32" i="2" s="1"/>
  <c r="G47" i="2"/>
  <c r="H47" i="2" s="1"/>
  <c r="G82" i="2"/>
  <c r="H82" i="2" s="1"/>
  <c r="G94" i="2"/>
  <c r="H94" i="2" s="1"/>
  <c r="G36" i="2"/>
  <c r="H36" i="2" s="1"/>
  <c r="G45" i="2"/>
  <c r="H45" i="2" s="1"/>
  <c r="G49" i="2"/>
  <c r="H49" i="2" s="1"/>
  <c r="G54" i="2"/>
  <c r="H54" i="2" s="1"/>
  <c r="G58" i="2"/>
  <c r="H58" i="2" s="1"/>
  <c r="G67" i="2"/>
  <c r="H67" i="2" s="1"/>
  <c r="G71" i="2"/>
  <c r="H71" i="2" s="1"/>
  <c r="G76" i="2"/>
  <c r="H76" i="2" s="1"/>
  <c r="G80" i="2"/>
  <c r="H80" i="2" s="1"/>
  <c r="G89" i="2"/>
  <c r="H89" i="2" s="1"/>
  <c r="G93" i="2"/>
  <c r="H93" i="2" s="1"/>
  <c r="G48" i="2"/>
  <c r="H48" i="2" s="1"/>
  <c r="G66" i="2"/>
  <c r="H66" i="2" s="1"/>
  <c r="G12" i="2"/>
  <c r="H12" i="2" s="1"/>
  <c r="G16" i="2"/>
  <c r="H16" i="2" s="1"/>
  <c r="G25" i="2"/>
  <c r="H25" i="2" s="1"/>
  <c r="G91" i="2"/>
  <c r="H91" i="2" s="1"/>
  <c r="G53" i="2"/>
  <c r="H53" i="2" s="1"/>
  <c r="G79" i="2"/>
  <c r="H79" i="2" s="1"/>
  <c r="G13" i="2"/>
  <c r="H13" i="2" s="1"/>
  <c r="G31" i="2"/>
  <c r="H31" i="2" s="1"/>
  <c r="G64" i="2"/>
  <c r="H64" i="2" s="1"/>
  <c r="G70" i="2"/>
  <c r="H70" i="2" s="1"/>
  <c r="G75" i="2"/>
  <c r="H75" i="2" s="1"/>
  <c r="G30" i="2"/>
  <c r="G34" i="2"/>
  <c r="H34" i="2" s="1"/>
  <c r="G38" i="2"/>
  <c r="H38" i="2" s="1"/>
  <c r="G43" i="2"/>
  <c r="H43" i="2" s="1"/>
  <c r="G52" i="2"/>
  <c r="G56" i="2"/>
  <c r="H56" i="2" s="1"/>
  <c r="G60" i="2"/>
  <c r="H60" i="2" s="1"/>
  <c r="G65" i="2"/>
  <c r="H65" i="2" s="1"/>
  <c r="G69" i="2"/>
  <c r="H69" i="2" s="1"/>
  <c r="G78" i="2"/>
  <c r="H78" i="2" s="1"/>
  <c r="G87" i="2"/>
  <c r="H87" i="2" s="1"/>
  <c r="G24" i="2"/>
  <c r="H24" i="2" s="1"/>
  <c r="G37" i="2"/>
  <c r="H37" i="2" s="1"/>
  <c r="G20" i="2"/>
  <c r="H20" i="2" s="1"/>
  <c r="G26" i="2"/>
  <c r="H26" i="2" s="1"/>
  <c r="G35" i="2"/>
  <c r="H35" i="2" s="1"/>
  <c r="G44" i="2"/>
  <c r="H44" i="2" s="1"/>
  <c r="G57" i="2"/>
  <c r="H57" i="2" s="1"/>
  <c r="G61" i="2"/>
  <c r="H61" i="2" s="1"/>
  <c r="G83" i="2"/>
  <c r="H83" i="2" s="1"/>
  <c r="G88" i="2"/>
  <c r="H88" i="2" s="1"/>
  <c r="G92" i="2"/>
  <c r="H92" i="2" s="1"/>
  <c r="G90" i="2"/>
  <c r="H90" i="2" s="1"/>
  <c r="G21" i="2"/>
  <c r="H21" i="2" s="1"/>
  <c r="G85" i="2"/>
  <c r="H85" i="2" s="1"/>
  <c r="G17" i="2"/>
  <c r="H17" i="2" s="1"/>
  <c r="G39" i="2"/>
  <c r="H39" i="2" s="1"/>
  <c r="G42" i="2"/>
  <c r="H42" i="2" s="1"/>
  <c r="G74" i="2"/>
  <c r="G63" i="2"/>
  <c r="G41" i="2"/>
  <c r="G22" i="2"/>
  <c r="H22" i="2" s="1"/>
  <c r="G19" i="2"/>
  <c r="C99" i="2"/>
  <c r="E157" i="2" s="1"/>
  <c r="G147" i="2" s="1"/>
  <c r="D136" i="2"/>
  <c r="D7" i="1"/>
  <c r="B12" i="1"/>
  <c r="H30" i="2" l="1"/>
  <c r="H9" i="2"/>
  <c r="H63" i="2"/>
  <c r="H73" i="2" s="1"/>
  <c r="H74" i="2"/>
  <c r="H84" i="2" s="1"/>
  <c r="H52" i="2"/>
  <c r="H62" i="2" s="1"/>
  <c r="H19" i="2"/>
  <c r="H41" i="2"/>
  <c r="H51" i="2" s="1"/>
  <c r="F99" i="2"/>
  <c r="G151" i="2"/>
  <c r="G154" i="2"/>
  <c r="G149" i="2"/>
  <c r="G145" i="2"/>
  <c r="G153" i="2"/>
  <c r="G148" i="2"/>
  <c r="G146" i="2"/>
  <c r="G150" i="2" s="1"/>
  <c r="G152" i="2"/>
  <c r="G156" i="2"/>
  <c r="C186" i="2"/>
  <c r="C97" i="2"/>
  <c r="I97" i="2" s="1"/>
  <c r="C163" i="2" s="1"/>
  <c r="B17" i="1"/>
  <c r="I99" i="2"/>
  <c r="H18" i="2"/>
  <c r="H29" i="2"/>
  <c r="H40" i="2"/>
  <c r="H95" i="2"/>
  <c r="C12" i="1"/>
  <c r="C11" i="1"/>
  <c r="C13" i="1" s="1"/>
  <c r="B13" i="1"/>
  <c r="G155" i="2" l="1"/>
  <c r="G157" i="2"/>
  <c r="D127" i="2"/>
  <c r="D167" i="2" s="1"/>
  <c r="C161" i="2"/>
  <c r="D17" i="1"/>
  <c r="D19" i="1" s="1"/>
  <c r="B19" i="1"/>
  <c r="H99" i="2"/>
  <c r="G99" i="2" s="1"/>
  <c r="G100" i="2" s="1"/>
  <c r="F100" i="2" l="1"/>
  <c r="C162" i="2"/>
  <c r="D163" i="2"/>
  <c r="D164" i="2"/>
  <c r="D166" i="2"/>
  <c r="D170" i="2"/>
  <c r="D169" i="2"/>
  <c r="D172" i="2"/>
  <c r="D168" i="2"/>
  <c r="D171" i="2"/>
  <c r="D165" i="2"/>
  <c r="D20" i="1"/>
  <c r="E20" i="1" s="1"/>
  <c r="D21" i="1"/>
  <c r="D161" i="2"/>
  <c r="C191" i="2"/>
  <c r="D187" i="2"/>
  <c r="D186" i="2"/>
  <c r="D18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Santiago de Pablo</author>
  </authors>
  <commentList>
    <comment ref="C134" authorId="0" shapeId="0" xr:uid="{7A8E3AD7-5015-2D4C-A3FB-A107F99288B5}">
      <text>
        <r>
          <rPr>
            <b/>
            <sz val="10"/>
            <color rgb="FF000000"/>
            <rFont val="Tahoma"/>
            <family val="2"/>
          </rPr>
          <t>Santiago de Pablo: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Typical Dubai: 1 space per 25-40 m² GLA</t>
        </r>
      </text>
    </comment>
    <comment ref="C135" authorId="0" shapeId="0" xr:uid="{3C3C806D-DD68-9A4E-AEC4-382029A49632}">
      <text>
        <r>
          <rPr>
            <b/>
            <sz val="10"/>
            <color rgb="FF000000"/>
            <rFont val="Tahoma"/>
            <family val="2"/>
          </rPr>
          <t>Santiago de Pablo: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Typical Dubai: 1 space per 10 m² or per 4 seats</t>
        </r>
      </text>
    </comment>
  </commentList>
</comments>
</file>

<file path=xl/sharedStrings.xml><?xml version="1.0" encoding="utf-8"?>
<sst xmlns="http://schemas.openxmlformats.org/spreadsheetml/2006/main" count="486" uniqueCount="291">
  <si>
    <t>Basement 01</t>
  </si>
  <si>
    <t>Ground Floor (Gate Level)</t>
  </si>
  <si>
    <t>TOTAL</t>
  </si>
  <si>
    <t>Data extracted from plans: Basement 01 + Ground Floor (Gate Level)</t>
  </si>
  <si>
    <t>Level</t>
  </si>
  <si>
    <t>PROJECT TOTAL</t>
  </si>
  <si>
    <t>PERCENTAGE BREAKDOWN</t>
  </si>
  <si>
    <t>Type</t>
  </si>
  <si>
    <t>Accessible / PRM</t>
  </si>
  <si>
    <t>Accessible / PRM spaces
(1.20 m strip)</t>
  </si>
  <si>
    <t>TOTAL
spaces</t>
  </si>
  <si>
    <t>Notes</t>
  </si>
  <si>
    <t>Spaces</t>
  </si>
  <si>
    <t>% of total</t>
  </si>
  <si>
    <t>1. MAIN BUILDING USE</t>
  </si>
  <si>
    <t>Use</t>
  </si>
  <si>
    <t>Dubai zone</t>
  </si>
  <si>
    <t>Typology</t>
  </si>
  <si>
    <t>TOTAL RESIDENTIAL</t>
  </si>
  <si>
    <t>3. OTHER USES (if applicable)</t>
  </si>
  <si>
    <t>Retail / Commercial</t>
  </si>
  <si>
    <t>Restaurant / F&amp;B</t>
  </si>
  <si>
    <t>TOTAL OTHER USES</t>
  </si>
  <si>
    <t xml:space="preserve">PARKING SPACES INVENTORY - PRODUCTION CITY </t>
  </si>
  <si>
    <t>Standard spaces
(incl. small 5000 length)</t>
  </si>
  <si>
    <t>Standard</t>
  </si>
  <si>
    <t>2. RESIDENTIAL PROGRAM</t>
  </si>
  <si>
    <t>Floor</t>
  </si>
  <si>
    <t>Units</t>
  </si>
  <si>
    <t>Req. spaces</t>
  </si>
  <si>
    <t>Floor 1</t>
  </si>
  <si>
    <t>Subtotal Floor 1</t>
  </si>
  <si>
    <t>Floor 2</t>
  </si>
  <si>
    <t>Subtotal Floor 2</t>
  </si>
  <si>
    <t>Floor 3</t>
  </si>
  <si>
    <t>Subtotal Floor 3</t>
  </si>
  <si>
    <t>Floor 4</t>
  </si>
  <si>
    <t>Subtotal Floor 4</t>
  </si>
  <si>
    <t>Floor 5</t>
  </si>
  <si>
    <t>Subtotal Floor 5</t>
  </si>
  <si>
    <t>Floor 6</t>
  </si>
  <si>
    <t>Subtotal Floor 6</t>
  </si>
  <si>
    <t>Floor 7</t>
  </si>
  <si>
    <t>Subtotal Floor 7</t>
  </si>
  <si>
    <t>Floor 8</t>
  </si>
  <si>
    <t>Subtotal Floor 8</t>
  </si>
  <si>
    <t xml:space="preserve">BUILDING PROGRAM - PRODUCTION CITY </t>
  </si>
  <si>
    <t xml:space="preserve">PRODUCTION CITY </t>
  </si>
  <si>
    <t>RESIDENTIAL</t>
  </si>
  <si>
    <t>Studio Type A</t>
  </si>
  <si>
    <t>1BR Type A</t>
  </si>
  <si>
    <t>1BR Type B</t>
  </si>
  <si>
    <t>1BR Type C</t>
  </si>
  <si>
    <t>2BR Type A</t>
  </si>
  <si>
    <t>2BR Type B</t>
  </si>
  <si>
    <t>2BR Type C</t>
  </si>
  <si>
    <t>Net area (m²)</t>
  </si>
  <si>
    <t>Spaces/100 m²</t>
  </si>
  <si>
    <t>2BR Type D</t>
  </si>
  <si>
    <t>3BR Type A</t>
  </si>
  <si>
    <t>1BR Type D</t>
  </si>
  <si>
    <t>Int. area (m²). GFA</t>
  </si>
  <si>
    <t>Balcony (m²).Aprox</t>
  </si>
  <si>
    <t>TYPOLOGY REFERENCE TABLE</t>
  </si>
  <si>
    <t>-</t>
  </si>
  <si>
    <t>Int. area (m²)</t>
  </si>
  <si>
    <t>Total (m²)</t>
  </si>
  <si>
    <t>Balcony (m²). Aprox</t>
  </si>
  <si>
    <t>Sellable/unit (m²)</t>
  </si>
  <si>
    <t>Total Sel.area (m²)</t>
  </si>
  <si>
    <t>4. BUILDING DATA</t>
  </si>
  <si>
    <t>Plot Area (m²)</t>
  </si>
  <si>
    <t>GFA (m²)</t>
  </si>
  <si>
    <t>Total GFA (m²)</t>
  </si>
  <si>
    <t>COMMON AREAS &amp; SERVICES</t>
  </si>
  <si>
    <t>Element</t>
  </si>
  <si>
    <t>Area (m²)</t>
  </si>
  <si>
    <t>Floors</t>
  </si>
  <si>
    <t>Ground floor</t>
  </si>
  <si>
    <t>Corridor + Stairs (F1)</t>
  </si>
  <si>
    <t>Corridor + Stairs (F2-F7)</t>
  </si>
  <si>
    <t>Floors 2 to 7</t>
  </si>
  <si>
    <t>Corridor (F8)</t>
  </si>
  <si>
    <t>Lifts</t>
  </si>
  <si>
    <t>All floors</t>
  </si>
  <si>
    <t>Services</t>
  </si>
  <si>
    <t>MEP</t>
  </si>
  <si>
    <t>Health Club</t>
  </si>
  <si>
    <t>Pool</t>
  </si>
  <si>
    <t>Floor 8 — Open air, not GFA</t>
  </si>
  <si>
    <t>Gym</t>
  </si>
  <si>
    <t>Subtotal Common Areas &amp; Services</t>
  </si>
  <si>
    <t>TOTAL GFA BUILDING</t>
  </si>
  <si>
    <t>Residential GFA + Common Areas</t>
  </si>
  <si>
    <t>Lobby A</t>
  </si>
  <si>
    <t>Lobby B</t>
  </si>
  <si>
    <t>Pool Pump</t>
  </si>
  <si>
    <t>Multipurpose</t>
  </si>
  <si>
    <t>Roof — Open air, not GFA</t>
  </si>
  <si>
    <t>Aquagym</t>
  </si>
  <si>
    <t>Gym (Roof)</t>
  </si>
  <si>
    <t>Yoga</t>
  </si>
  <si>
    <t>Club House</t>
  </si>
  <si>
    <t>BBQ</t>
  </si>
  <si>
    <t>Family Sitting</t>
  </si>
  <si>
    <t>Zen Garden</t>
  </si>
  <si>
    <t>Sauna</t>
  </si>
  <si>
    <t>Aprox Shafts per Unit</t>
  </si>
  <si>
    <t>SHAFTS</t>
  </si>
  <si>
    <t>PARKING REQUIREMENT</t>
  </si>
  <si>
    <t>Category</t>
  </si>
  <si>
    <t>Spaces/unit</t>
  </si>
  <si>
    <t>Studio / 1BR / 2BR</t>
  </si>
  <si>
    <t>3BR</t>
  </si>
  <si>
    <t>TOTAL REQUIRED</t>
  </si>
  <si>
    <t>BALANCE</t>
  </si>
  <si>
    <t>Available - Required</t>
  </si>
  <si>
    <t>of which Accessible / PRM (2%)</t>
  </si>
  <si>
    <t>Req.</t>
  </si>
  <si>
    <t>Balance PRM</t>
  </si>
  <si>
    <t>5. EFFICIENCY ANALYSIS</t>
  </si>
  <si>
    <t>% of Total GFA</t>
  </si>
  <si>
    <t>Int. area (GFA)</t>
  </si>
  <si>
    <t>Sellable interior</t>
  </si>
  <si>
    <t>Balconies (non-GFA)</t>
  </si>
  <si>
    <t>Not computed as GFA</t>
  </si>
  <si>
    <t>Shafts</t>
  </si>
  <si>
    <t>Deducted from residential GFA</t>
  </si>
  <si>
    <t>CIRCULATION</t>
  </si>
  <si>
    <t>Lobbies (A+B)</t>
  </si>
  <si>
    <t>Corridors + Stairs</t>
  </si>
  <si>
    <t>F1 + F2-F7 + F8</t>
  </si>
  <si>
    <t>8 floors</t>
  </si>
  <si>
    <t>SERVICES / MEP</t>
  </si>
  <si>
    <t>AMENITIES</t>
  </si>
  <si>
    <t>Gym (F8)</t>
  </si>
  <si>
    <t>SUBTOTALS</t>
  </si>
  <si>
    <t>Circulation</t>
  </si>
  <si>
    <t>Services + MEP</t>
  </si>
  <si>
    <t>Amenities (GFA)</t>
  </si>
  <si>
    <t>TOTAL GFA</t>
  </si>
  <si>
    <t>Total Units</t>
  </si>
  <si>
    <t>% of Total</t>
  </si>
  <si>
    <t>Total Studio</t>
  </si>
  <si>
    <t>Total 1BR</t>
  </si>
  <si>
    <t>Total 2BR</t>
  </si>
  <si>
    <t>AMENITIES (non-GFA)</t>
  </si>
  <si>
    <t>Pool (F8)</t>
  </si>
  <si>
    <t>Open air, not GFA</t>
  </si>
  <si>
    <t>Roof — Open air</t>
  </si>
  <si>
    <t>Total Amenities (non-GFA)</t>
  </si>
  <si>
    <t>Amenities (non-GFA)</t>
  </si>
  <si>
    <t>Open air / not GFA</t>
  </si>
  <si>
    <t>PROJECT ANALYSIS - PRODUCTION CITY</t>
  </si>
  <si>
    <t>#</t>
  </si>
  <si>
    <t>Area</t>
  </si>
  <si>
    <t>Issue</t>
  </si>
  <si>
    <t>Impact</t>
  </si>
  <si>
    <t>Basement Parking</t>
  </si>
  <si>
    <t>Travel distance exceeds 61 m max to evacuation staircase. Need to remove 4 parking spaces to comply with fire safety regulations.</t>
  </si>
  <si>
    <t>Loss of 4 spaces (369 → 365). Balance with required 354 reduces to +11 surplus.</t>
  </si>
  <si>
    <t>Ground Floor Parking</t>
  </si>
  <si>
    <t>Open parking at ground floor level — vehicles are visible from the street. No facade screening or cladding in current design.</t>
  </si>
  <si>
    <t>Negative visual impact on building aesthetics and streetscape. May affect property values and community perception.</t>
  </si>
  <si>
    <t>Outdoor Area + Pool (F1)</t>
  </si>
  <si>
    <t>Floor 1 — Open air, not GFA</t>
  </si>
  <si>
    <t>Floor 1 — Open air</t>
  </si>
  <si>
    <t>Total Balcony (m²)</t>
  </si>
  <si>
    <t xml:space="preserve">Sellable Interior </t>
  </si>
  <si>
    <t>Sellable Blacony</t>
  </si>
  <si>
    <t xml:space="preserve">Sellable Total </t>
  </si>
  <si>
    <t>Residential GFA (net of shafts)</t>
  </si>
  <si>
    <t>Parameter</t>
  </si>
  <si>
    <t>N° containers (2.5 m³)</t>
  </si>
  <si>
    <t>WASTE ROOM DIMENSIONING — PRODUCTION CITY</t>
  </si>
  <si>
    <t>DESIGN ASSUMPTIONS</t>
  </si>
  <si>
    <t>Value</t>
  </si>
  <si>
    <t>Unit</t>
  </si>
  <si>
    <t>Waste generation rate</t>
  </si>
  <si>
    <t>kg / 100 m² / day</t>
  </si>
  <si>
    <t>Dubai Municipality standard</t>
  </si>
  <si>
    <t>Storage capacity</t>
  </si>
  <si>
    <t>days</t>
  </si>
  <si>
    <t>Minimum collection frequency</t>
  </si>
  <si>
    <t>Waste density (compacted)</t>
  </si>
  <si>
    <t>kg / m³</t>
  </si>
  <si>
    <t>Mixed residential waste</t>
  </si>
  <si>
    <t>Container capacity</t>
  </si>
  <si>
    <t>m³</t>
  </si>
  <si>
    <t>Standard waste container</t>
  </si>
  <si>
    <t>Container width</t>
  </si>
  <si>
    <t>m</t>
  </si>
  <si>
    <t>Container length</t>
  </si>
  <si>
    <t>Separation between containers</t>
  </si>
  <si>
    <t>Front clearance</t>
  </si>
  <si>
    <t>Access / maneuvering space</t>
  </si>
  <si>
    <t>WASTE ROOM CALCULATION</t>
  </si>
  <si>
    <t>Formula / Source</t>
  </si>
  <si>
    <t>m²</t>
  </si>
  <si>
    <t>Daily waste generation</t>
  </si>
  <si>
    <t>kg / day</t>
  </si>
  <si>
    <t>GFA × generation rate / 100</t>
  </si>
  <si>
    <t>Storage capacity (2 days)</t>
  </si>
  <si>
    <t>kg</t>
  </si>
  <si>
    <t>Daily generation × storage days</t>
  </si>
  <si>
    <t>Volume required</t>
  </si>
  <si>
    <t>Capacity / waste density</t>
  </si>
  <si>
    <t>units</t>
  </si>
  <si>
    <t>Volume / container capacity (rounded up)</t>
  </si>
  <si>
    <t>Room width (containers side by side)</t>
  </si>
  <si>
    <t>N° containers × width + separations</t>
  </si>
  <si>
    <t>Room depth</t>
  </si>
  <si>
    <t>Container length + front clearance</t>
  </si>
  <si>
    <t>TOTAL WASTE ROOM AREA</t>
  </si>
  <si>
    <t>Room width × room depth</t>
  </si>
  <si>
    <t>Residential GFA (m²)</t>
  </si>
  <si>
    <t>From Program sheet — Total Residential GFA</t>
  </si>
  <si>
    <t>STEP 1 — BUILDING POPULATION</t>
  </si>
  <si>
    <t>Occupancy assumptions</t>
  </si>
  <si>
    <t>Studio</t>
  </si>
  <si>
    <t>pers / unit</t>
  </si>
  <si>
    <t>1 BR</t>
  </si>
  <si>
    <t>2 BR</t>
  </si>
  <si>
    <t>3 BR + Maid</t>
  </si>
  <si>
    <t>Population by floor</t>
  </si>
  <si>
    <t>Studios</t>
  </si>
  <si>
    <t>3 BR+M</t>
  </si>
  <si>
    <t>Total units</t>
  </si>
  <si>
    <t>Population</t>
  </si>
  <si>
    <t>TOTAL BUILDING</t>
  </si>
  <si>
    <t>STEP 2 — HANDLING CAPACITY (CIBSE Guide D)</t>
  </si>
  <si>
    <t>Standard (5%)</t>
  </si>
  <si>
    <t>Premium (7%)</t>
  </si>
  <si>
    <t>Total population</t>
  </si>
  <si>
    <t>From Step 1</t>
  </si>
  <si>
    <t>Handling capacity (%)</t>
  </si>
  <si>
    <t>% of population in 5 min</t>
  </si>
  <si>
    <t>Persons to move in 5 min</t>
  </si>
  <si>
    <t>Design demand</t>
  </si>
  <si>
    <t>STEP 3 — LIFT CABIN CAPACITY</t>
  </si>
  <si>
    <t>Cabin rated load (kg)</t>
  </si>
  <si>
    <t>Max persons</t>
  </si>
  <si>
    <t>@ 80% capacity</t>
  </si>
  <si>
    <t>Selected cabin</t>
  </si>
  <si>
    <t>Persons per trip (80%)</t>
  </si>
  <si>
    <t>persons</t>
  </si>
  <si>
    <t>STEP 4 — ROUND TRIP TIME (RTT)</t>
  </si>
  <si>
    <t>Number of floors served</t>
  </si>
  <si>
    <t>floors</t>
  </si>
  <si>
    <t>F1 to F8 (excl. ground)</t>
  </si>
  <si>
    <t>Floor-to-floor height</t>
  </si>
  <si>
    <t>Typical residential</t>
  </si>
  <si>
    <t>Total travel height (H)</t>
  </si>
  <si>
    <t>Floors × height</t>
  </si>
  <si>
    <t>Lift speed (v)</t>
  </si>
  <si>
    <t>m/s</t>
  </si>
  <si>
    <t>Typical residential Dubai</t>
  </si>
  <si>
    <t>Probable stops per trip</t>
  </si>
  <si>
    <t>stops</t>
  </si>
  <si>
    <t>√N floors (approximation)</t>
  </si>
  <si>
    <t>Time per stop (door + load/unload)</t>
  </si>
  <si>
    <t>s</t>
  </si>
  <si>
    <t>Open + board + close</t>
  </si>
  <si>
    <t>RTT (Round Trip Time)</t>
  </si>
  <si>
    <t>2×H/v + stops×8s</t>
  </si>
  <si>
    <t>STEP 5 — CAPACITY PER LIFT (in 5 min)</t>
  </si>
  <si>
    <t>Trips per 5 min (per lift)</t>
  </si>
  <si>
    <t>trips</t>
  </si>
  <si>
    <t>300 s / RTT</t>
  </si>
  <si>
    <t>From Step 3</t>
  </si>
  <si>
    <t>Capacity per lift in 5 min</t>
  </si>
  <si>
    <t>Trips × persons per trip</t>
  </si>
  <si>
    <t>Scenario</t>
  </si>
  <si>
    <t>Demand (pers)</t>
  </si>
  <si>
    <t>Lifts required</t>
  </si>
  <si>
    <t>Criterion</t>
  </si>
  <si>
    <t>lifts</t>
  </si>
  <si>
    <t>Redundancy (N+1)</t>
  </si>
  <si>
    <t>RECOMMENDED LIFTS</t>
  </si>
  <si>
    <t>LIFT CALCULATION — PRODUCTION CITY. CIBSE Guide D</t>
  </si>
  <si>
    <t>STEP 6 — LIFTS REQUIRED (CIBSE Guide D)</t>
  </si>
  <si>
    <t>Standard residential (5%)</t>
  </si>
  <si>
    <t>CIBSE minimum</t>
  </si>
  <si>
    <t>Premium residential (7%)</t>
  </si>
  <si>
    <t>Premium standard</t>
  </si>
  <si>
    <t>LIFTS PER CIBSE (norm)</t>
  </si>
  <si>
    <t>PRACTICAL CHECK</t>
  </si>
  <si>
    <t>Rule of thumb (1 per 60–90 units)</t>
  </si>
  <si>
    <t>DCD minimum (&gt;100 units)</t>
  </si>
  <si>
    <t>Dubai code minimum</t>
  </si>
  <si>
    <t>Governing practical criterion¡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</si>
</sst>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i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2"/>
      <color rgb="FF9C0006"/>
      <name val="Calibri"/>
      <family val="2"/>
      <scheme val="minor"/>
    </font>
    <font>
      <i/>
      <sz val="11"/>
      <color theme="1"/>
      <name val="Arial"/>
      <family val="2"/>
    </font>
    <font>
      <b/>
      <sz val="12"/>
      <color rgb="FFFFFFFF"/>
      <name val="Arial"/>
      <family val="2"/>
    </font>
    <font>
      <b/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Calibri"/>
      <family val="2"/>
      <charset val="1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b/>
      <sz val="10"/>
      <color rgb="FFFFFFFF"/>
      <name val="Arial"/>
      <family val="2"/>
    </font>
    <font>
      <b/>
      <sz val="1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9DC3E6"/>
        <bgColor rgb="FFC0C0C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D9D9D9"/>
        <bgColor rgb="FFE2EFDA"/>
      </patternFill>
    </fill>
    <fill>
      <patternFill patternType="solid">
        <fgColor rgb="FF9DC3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D9F3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808080"/>
      </right>
      <top style="medium">
        <color rgb="FF000000"/>
      </top>
      <bottom style="double">
        <color rgb="FF00000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000000"/>
      </bottom>
      <diagonal/>
    </border>
    <border>
      <left style="thin">
        <color rgb="FF808080"/>
      </left>
      <right/>
      <top style="medium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3" fillId="12" borderId="0" applyNumberFormat="0" applyBorder="0" applyAlignment="0" applyProtection="0"/>
  </cellStyleXfs>
  <cellXfs count="254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3" fillId="6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8" fillId="8" borderId="6" xfId="0" applyNumberFormat="1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0" fillId="7" borderId="0" xfId="0" applyFill="1"/>
    <xf numFmtId="1" fontId="4" fillId="10" borderId="8" xfId="0" applyNumberFormat="1" applyFont="1" applyFill="1" applyBorder="1" applyAlignment="1">
      <alignment horizontal="center"/>
    </xf>
    <xf numFmtId="1" fontId="4" fillId="10" borderId="3" xfId="0" applyNumberFormat="1" applyFont="1" applyFill="1" applyBorder="1" applyAlignment="1">
      <alignment horizontal="center"/>
    </xf>
    <xf numFmtId="165" fontId="4" fillId="10" borderId="8" xfId="0" applyNumberFormat="1" applyFont="1" applyFill="1" applyBorder="1" applyAlignment="1">
      <alignment horizontal="center"/>
    </xf>
    <xf numFmtId="165" fontId="4" fillId="10" borderId="3" xfId="0" applyNumberFormat="1" applyFont="1" applyFill="1" applyBorder="1" applyAlignment="1">
      <alignment horizontal="center"/>
    </xf>
    <xf numFmtId="166" fontId="7" fillId="0" borderId="8" xfId="0" applyNumberFormat="1" applyFont="1" applyBorder="1" applyAlignment="1">
      <alignment horizontal="center"/>
    </xf>
    <xf numFmtId="0" fontId="7" fillId="0" borderId="4" xfId="0" applyFont="1" applyBorder="1"/>
    <xf numFmtId="3" fontId="7" fillId="0" borderId="5" xfId="0" applyNumberFormat="1" applyFont="1" applyBorder="1" applyAlignment="1">
      <alignment horizontal="center"/>
    </xf>
    <xf numFmtId="0" fontId="7" fillId="0" borderId="8" xfId="0" applyFont="1" applyBorder="1"/>
    <xf numFmtId="0" fontId="8" fillId="8" borderId="3" xfId="0" applyFont="1" applyFill="1" applyBorder="1" applyAlignment="1">
      <alignment horizontal="left"/>
    </xf>
    <xf numFmtId="0" fontId="11" fillId="8" borderId="3" xfId="0" applyFont="1" applyFill="1" applyBorder="1"/>
    <xf numFmtId="3" fontId="8" fillId="8" borderId="3" xfId="0" applyNumberFormat="1" applyFont="1" applyFill="1" applyBorder="1" applyAlignment="1">
      <alignment horizontal="center"/>
    </xf>
    <xf numFmtId="3" fontId="8" fillId="8" borderId="4" xfId="0" applyNumberFormat="1" applyFont="1" applyFill="1" applyBorder="1" applyAlignment="1">
      <alignment horizontal="center"/>
    </xf>
    <xf numFmtId="166" fontId="8" fillId="8" borderId="3" xfId="0" applyNumberFormat="1" applyFont="1" applyFill="1" applyBorder="1" applyAlignment="1">
      <alignment horizontal="center"/>
    </xf>
    <xf numFmtId="0" fontId="7" fillId="0" borderId="9" xfId="0" applyFont="1" applyBorder="1"/>
    <xf numFmtId="0" fontId="12" fillId="9" borderId="3" xfId="0" applyFont="1" applyFill="1" applyBorder="1" applyAlignment="1">
      <alignment horizontal="left"/>
    </xf>
    <xf numFmtId="0" fontId="7" fillId="0" borderId="9" xfId="0" applyFont="1" applyBorder="1" applyAlignment="1">
      <alignment horizontal="left"/>
    </xf>
    <xf numFmtId="1" fontId="4" fillId="10" borderId="9" xfId="0" applyNumberFormat="1" applyFont="1" applyFill="1" applyBorder="1" applyAlignment="1">
      <alignment horizontal="center"/>
    </xf>
    <xf numFmtId="3" fontId="12" fillId="9" borderId="3" xfId="0" applyNumberFormat="1" applyFont="1" applyFill="1" applyBorder="1" applyAlignment="1">
      <alignment horizontal="center"/>
    </xf>
    <xf numFmtId="165" fontId="4" fillId="10" borderId="9" xfId="0" applyNumberFormat="1" applyFont="1" applyFill="1" applyBorder="1" applyAlignment="1">
      <alignment horizontal="center"/>
    </xf>
    <xf numFmtId="166" fontId="7" fillId="0" borderId="9" xfId="0" applyNumberFormat="1" applyFont="1" applyBorder="1" applyAlignment="1">
      <alignment horizontal="center"/>
    </xf>
    <xf numFmtId="166" fontId="12" fillId="9" borderId="3" xfId="0" applyNumberFormat="1" applyFont="1" applyFill="1" applyBorder="1" applyAlignment="1">
      <alignment horizontal="center"/>
    </xf>
    <xf numFmtId="0" fontId="11" fillId="9" borderId="3" xfId="0" applyFont="1" applyFill="1" applyBorder="1"/>
    <xf numFmtId="0" fontId="8" fillId="7" borderId="0" xfId="0" applyFont="1" applyFill="1" applyAlignment="1">
      <alignment horizontal="center"/>
    </xf>
    <xf numFmtId="3" fontId="4" fillId="10" borderId="8" xfId="0" applyNumberFormat="1" applyFont="1" applyFill="1" applyBorder="1" applyAlignment="1">
      <alignment horizontal="center"/>
    </xf>
    <xf numFmtId="2" fontId="4" fillId="10" borderId="8" xfId="0" applyNumberFormat="1" applyFont="1" applyFill="1" applyBorder="1" applyAlignment="1">
      <alignment horizontal="center"/>
    </xf>
    <xf numFmtId="165" fontId="7" fillId="0" borderId="8" xfId="0" applyNumberFormat="1" applyFont="1" applyBorder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0" fillId="9" borderId="8" xfId="0" applyFill="1" applyBorder="1"/>
    <xf numFmtId="0" fontId="0" fillId="9" borderId="3" xfId="0" applyFill="1" applyBorder="1"/>
    <xf numFmtId="0" fontId="12" fillId="9" borderId="8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center"/>
    </xf>
    <xf numFmtId="0" fontId="0" fillId="9" borderId="5" xfId="0" applyFill="1" applyBorder="1"/>
    <xf numFmtId="2" fontId="4" fillId="10" borderId="3" xfId="0" applyNumberFormat="1" applyFont="1" applyFill="1" applyBorder="1" applyAlignment="1">
      <alignment horizontal="center"/>
    </xf>
    <xf numFmtId="2" fontId="4" fillId="10" borderId="9" xfId="0" applyNumberFormat="1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7" borderId="8" xfId="0" applyFill="1" applyBorder="1"/>
    <xf numFmtId="0" fontId="3" fillId="7" borderId="8" xfId="0" applyFont="1" applyFill="1" applyBorder="1" applyAlignment="1">
      <alignment horizontal="left"/>
    </xf>
    <xf numFmtId="0" fontId="8" fillId="13" borderId="3" xfId="0" applyFont="1" applyFill="1" applyBorder="1" applyAlignment="1">
      <alignment horizontal="left"/>
    </xf>
    <xf numFmtId="0" fontId="0" fillId="13" borderId="8" xfId="0" applyFill="1" applyBorder="1"/>
    <xf numFmtId="0" fontId="0" fillId="13" borderId="3" xfId="0" applyFill="1" applyBorder="1"/>
    <xf numFmtId="0" fontId="0" fillId="13" borderId="4" xfId="0" applyFill="1" applyBorder="1"/>
    <xf numFmtId="0" fontId="0" fillId="7" borderId="5" xfId="0" applyFill="1" applyBorder="1"/>
    <xf numFmtId="0" fontId="8" fillId="13" borderId="8" xfId="0" applyFont="1" applyFill="1" applyBorder="1" applyAlignment="1">
      <alignment horizontal="left"/>
    </xf>
    <xf numFmtId="0" fontId="0" fillId="13" borderId="5" xfId="0" applyFill="1" applyBorder="1"/>
    <xf numFmtId="0" fontId="8" fillId="7" borderId="9" xfId="0" applyFont="1" applyFill="1" applyBorder="1" applyAlignment="1">
      <alignment horizontal="center"/>
    </xf>
    <xf numFmtId="4" fontId="8" fillId="8" borderId="3" xfId="0" applyNumberFormat="1" applyFont="1" applyFill="1" applyBorder="1" applyAlignment="1">
      <alignment horizontal="center"/>
    </xf>
    <xf numFmtId="4" fontId="8" fillId="8" borderId="4" xfId="0" applyNumberFormat="1" applyFont="1" applyFill="1" applyBorder="1" applyAlignment="1">
      <alignment horizontal="center"/>
    </xf>
    <xf numFmtId="0" fontId="8" fillId="14" borderId="8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4" fontId="7" fillId="0" borderId="8" xfId="0" applyNumberFormat="1" applyFont="1" applyBorder="1" applyAlignment="1">
      <alignment horizontal="center"/>
    </xf>
    <xf numFmtId="4" fontId="7" fillId="0" borderId="3" xfId="0" applyNumberFormat="1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7" fillId="0" borderId="3" xfId="0" applyFont="1" applyBorder="1"/>
    <xf numFmtId="0" fontId="7" fillId="0" borderId="9" xfId="0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4" fontId="7" fillId="0" borderId="9" xfId="0" applyNumberFormat="1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0" fontId="8" fillId="8" borderId="8" xfId="0" applyFont="1" applyFill="1" applyBorder="1" applyAlignment="1">
      <alignment horizontal="left"/>
    </xf>
    <xf numFmtId="0" fontId="0" fillId="8" borderId="8" xfId="0" applyFill="1" applyBorder="1"/>
    <xf numFmtId="0" fontId="0" fillId="8" borderId="3" xfId="0" applyFill="1" applyBorder="1"/>
    <xf numFmtId="0" fontId="0" fillId="8" borderId="4" xfId="0" applyFill="1" applyBorder="1"/>
    <xf numFmtId="4" fontId="8" fillId="8" borderId="8" xfId="0" applyNumberFormat="1" applyFont="1" applyFill="1" applyBorder="1" applyAlignment="1">
      <alignment horizontal="center"/>
    </xf>
    <xf numFmtId="0" fontId="15" fillId="9" borderId="12" xfId="0" applyFont="1" applyFill="1" applyBorder="1" applyAlignment="1">
      <alignment horizontal="left"/>
    </xf>
    <xf numFmtId="0" fontId="0" fillId="9" borderId="12" xfId="0" applyFill="1" applyBorder="1"/>
    <xf numFmtId="4" fontId="15" fillId="9" borderId="12" xfId="0" applyNumberFormat="1" applyFont="1" applyFill="1" applyBorder="1" applyAlignment="1">
      <alignment horizontal="center"/>
    </xf>
    <xf numFmtId="0" fontId="12" fillId="9" borderId="13" xfId="0" applyFont="1" applyFill="1" applyBorder="1" applyAlignment="1">
      <alignment horizontal="left"/>
    </xf>
    <xf numFmtId="0" fontId="7" fillId="13" borderId="8" xfId="0" applyFont="1" applyFill="1" applyBorder="1"/>
    <xf numFmtId="0" fontId="7" fillId="13" borderId="3" xfId="0" applyFont="1" applyFill="1" applyBorder="1"/>
    <xf numFmtId="0" fontId="7" fillId="13" borderId="3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left"/>
    </xf>
    <xf numFmtId="4" fontId="7" fillId="13" borderId="3" xfId="0" applyNumberFormat="1" applyFont="1" applyFill="1" applyBorder="1" applyAlignment="1">
      <alignment horizontal="center"/>
    </xf>
    <xf numFmtId="0" fontId="14" fillId="13" borderId="4" xfId="0" applyFont="1" applyFill="1" applyBorder="1" applyAlignment="1">
      <alignment horizontal="left"/>
    </xf>
    <xf numFmtId="0" fontId="7" fillId="13" borderId="8" xfId="0" applyFont="1" applyFill="1" applyBorder="1" applyAlignment="1">
      <alignment horizontal="center"/>
    </xf>
    <xf numFmtId="4" fontId="7" fillId="13" borderId="8" xfId="0" applyNumberFormat="1" applyFont="1" applyFill="1" applyBorder="1" applyAlignment="1">
      <alignment horizontal="center"/>
    </xf>
    <xf numFmtId="0" fontId="14" fillId="13" borderId="5" xfId="0" applyFont="1" applyFill="1" applyBorder="1" applyAlignment="1">
      <alignment horizontal="left"/>
    </xf>
    <xf numFmtId="0" fontId="8" fillId="8" borderId="15" xfId="0" applyFont="1" applyFill="1" applyBorder="1" applyAlignment="1">
      <alignment horizontal="left"/>
    </xf>
    <xf numFmtId="0" fontId="0" fillId="8" borderId="15" xfId="0" applyFill="1" applyBorder="1"/>
    <xf numFmtId="4" fontId="8" fillId="8" borderId="15" xfId="0" applyNumberFormat="1" applyFont="1" applyFill="1" applyBorder="1" applyAlignment="1">
      <alignment horizontal="center"/>
    </xf>
    <xf numFmtId="0" fontId="0" fillId="8" borderId="6" xfId="0" applyFill="1" applyBorder="1"/>
    <xf numFmtId="0" fontId="7" fillId="13" borderId="5" xfId="0" applyFont="1" applyFill="1" applyBorder="1" applyAlignment="1">
      <alignment horizontal="left"/>
    </xf>
    <xf numFmtId="3" fontId="7" fillId="0" borderId="8" xfId="0" applyNumberFormat="1" applyFont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5" fillId="9" borderId="16" xfId="0" applyFont="1" applyFill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0" fillId="9" borderId="16" xfId="0" applyFill="1" applyBorder="1"/>
    <xf numFmtId="9" fontId="4" fillId="10" borderId="3" xfId="0" applyNumberFormat="1" applyFont="1" applyFill="1" applyBorder="1" applyAlignment="1">
      <alignment horizontal="center"/>
    </xf>
    <xf numFmtId="0" fontId="15" fillId="9" borderId="16" xfId="0" applyFont="1" applyFill="1" applyBorder="1" applyAlignment="1">
      <alignment horizontal="center"/>
    </xf>
    <xf numFmtId="0" fontId="12" fillId="9" borderId="17" xfId="0" applyFont="1" applyFill="1" applyBorder="1" applyAlignment="1">
      <alignment horizontal="left"/>
    </xf>
    <xf numFmtId="0" fontId="0" fillId="0" borderId="5" xfId="0" applyBorder="1"/>
    <xf numFmtId="0" fontId="8" fillId="0" borderId="6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8" fillId="15" borderId="8" xfId="0" applyFont="1" applyFill="1" applyBorder="1"/>
    <xf numFmtId="0" fontId="14" fillId="0" borderId="5" xfId="0" applyFont="1" applyBorder="1"/>
    <xf numFmtId="0" fontId="0" fillId="15" borderId="8" xfId="0" applyFill="1" applyBorder="1"/>
    <xf numFmtId="0" fontId="8" fillId="11" borderId="8" xfId="0" applyFont="1" applyFill="1" applyBorder="1"/>
    <xf numFmtId="0" fontId="14" fillId="0" borderId="11" xfId="0" applyFont="1" applyBorder="1"/>
    <xf numFmtId="0" fontId="7" fillId="0" borderId="5" xfId="0" applyFont="1" applyBorder="1"/>
    <xf numFmtId="0" fontId="14" fillId="0" borderId="4" xfId="0" applyFont="1" applyBorder="1"/>
    <xf numFmtId="0" fontId="0" fillId="11" borderId="8" xfId="0" applyFill="1" applyBorder="1"/>
    <xf numFmtId="0" fontId="8" fillId="16" borderId="8" xfId="0" applyFont="1" applyFill="1" applyBorder="1"/>
    <xf numFmtId="164" fontId="7" fillId="0" borderId="9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0" fontId="0" fillId="16" borderId="8" xfId="0" applyFill="1" applyBorder="1"/>
    <xf numFmtId="0" fontId="8" fillId="17" borderId="3" xfId="0" applyFont="1" applyFill="1" applyBorder="1"/>
    <xf numFmtId="0" fontId="8" fillId="17" borderId="8" xfId="0" applyFont="1" applyFill="1" applyBorder="1"/>
    <xf numFmtId="0" fontId="0" fillId="17" borderId="8" xfId="0" applyFill="1" applyBorder="1"/>
    <xf numFmtId="0" fontId="8" fillId="8" borderId="8" xfId="0" applyFont="1" applyFill="1" applyBorder="1"/>
    <xf numFmtId="0" fontId="8" fillId="8" borderId="3" xfId="0" applyFont="1" applyFill="1" applyBorder="1"/>
    <xf numFmtId="164" fontId="8" fillId="8" borderId="8" xfId="0" applyNumberFormat="1" applyFont="1" applyFill="1" applyBorder="1" applyAlignment="1">
      <alignment horizontal="center"/>
    </xf>
    <xf numFmtId="164" fontId="8" fillId="8" borderId="4" xfId="0" applyNumberFormat="1" applyFont="1" applyFill="1" applyBorder="1" applyAlignment="1">
      <alignment horizontal="center"/>
    </xf>
    <xf numFmtId="0" fontId="0" fillId="8" borderId="5" xfId="0" applyFill="1" applyBorder="1"/>
    <xf numFmtId="0" fontId="3" fillId="7" borderId="9" xfId="0" applyFont="1" applyFill="1" applyBorder="1" applyAlignment="1">
      <alignment horizontal="left"/>
    </xf>
    <xf numFmtId="0" fontId="0" fillId="7" borderId="9" xfId="0" applyFill="1" applyBorder="1"/>
    <xf numFmtId="0" fontId="0" fillId="7" borderId="11" xfId="0" applyFill="1" applyBorder="1"/>
    <xf numFmtId="164" fontId="3" fillId="8" borderId="4" xfId="0" applyNumberFormat="1" applyFont="1" applyFill="1" applyBorder="1" applyAlignment="1">
      <alignment horizontal="center"/>
    </xf>
    <xf numFmtId="0" fontId="8" fillId="18" borderId="8" xfId="0" applyFont="1" applyFill="1" applyBorder="1"/>
    <xf numFmtId="2" fontId="4" fillId="18" borderId="8" xfId="0" applyNumberFormat="1" applyFont="1" applyFill="1" applyBorder="1" applyAlignment="1">
      <alignment horizontal="center"/>
    </xf>
    <xf numFmtId="2" fontId="7" fillId="18" borderId="8" xfId="0" applyNumberFormat="1" applyFont="1" applyFill="1" applyBorder="1" applyAlignment="1">
      <alignment horizontal="center"/>
    </xf>
    <xf numFmtId="0" fontId="7" fillId="18" borderId="8" xfId="0" applyFont="1" applyFill="1" applyBorder="1" applyAlignment="1">
      <alignment horizontal="center"/>
    </xf>
    <xf numFmtId="164" fontId="5" fillId="18" borderId="5" xfId="0" applyNumberFormat="1" applyFont="1" applyFill="1" applyBorder="1" applyAlignment="1">
      <alignment horizontal="center"/>
    </xf>
    <xf numFmtId="0" fontId="8" fillId="19" borderId="8" xfId="0" applyFont="1" applyFill="1" applyBorder="1"/>
    <xf numFmtId="2" fontId="4" fillId="19" borderId="8" xfId="0" applyNumberFormat="1" applyFont="1" applyFill="1" applyBorder="1" applyAlignment="1">
      <alignment horizontal="center"/>
    </xf>
    <xf numFmtId="2" fontId="7" fillId="19" borderId="8" xfId="0" applyNumberFormat="1" applyFont="1" applyFill="1" applyBorder="1" applyAlignment="1">
      <alignment horizontal="center"/>
    </xf>
    <xf numFmtId="0" fontId="8" fillId="19" borderId="8" xfId="0" applyFont="1" applyFill="1" applyBorder="1" applyAlignment="1">
      <alignment horizontal="center"/>
    </xf>
    <xf numFmtId="164" fontId="3" fillId="19" borderId="5" xfId="0" applyNumberFormat="1" applyFont="1" applyFill="1" applyBorder="1" applyAlignment="1">
      <alignment horizontal="center"/>
    </xf>
    <xf numFmtId="2" fontId="4" fillId="15" borderId="8" xfId="0" applyNumberFormat="1" applyFont="1" applyFill="1" applyBorder="1" applyAlignment="1">
      <alignment horizontal="center"/>
    </xf>
    <xf numFmtId="2" fontId="7" fillId="15" borderId="8" xfId="0" applyNumberFormat="1" applyFont="1" applyFill="1" applyBorder="1" applyAlignment="1">
      <alignment horizontal="center"/>
    </xf>
    <xf numFmtId="0" fontId="7" fillId="15" borderId="8" xfId="0" applyFont="1" applyFill="1" applyBorder="1" applyAlignment="1">
      <alignment horizontal="center"/>
    </xf>
    <xf numFmtId="164" fontId="5" fillId="15" borderId="5" xfId="0" applyNumberFormat="1" applyFont="1" applyFill="1" applyBorder="1" applyAlignment="1">
      <alignment horizontal="center"/>
    </xf>
    <xf numFmtId="0" fontId="8" fillId="20" borderId="8" xfId="0" applyFont="1" applyFill="1" applyBorder="1"/>
    <xf numFmtId="2" fontId="4" fillId="20" borderId="8" xfId="0" applyNumberFormat="1" applyFont="1" applyFill="1" applyBorder="1" applyAlignment="1">
      <alignment horizontal="center"/>
    </xf>
    <xf numFmtId="2" fontId="7" fillId="20" borderId="8" xfId="0" applyNumberFormat="1" applyFont="1" applyFill="1" applyBorder="1" applyAlignment="1">
      <alignment horizontal="center"/>
    </xf>
    <xf numFmtId="0" fontId="8" fillId="20" borderId="8" xfId="0" applyFont="1" applyFill="1" applyBorder="1" applyAlignment="1">
      <alignment horizontal="center"/>
    </xf>
    <xf numFmtId="164" fontId="3" fillId="20" borderId="5" xfId="0" applyNumberFormat="1" applyFont="1" applyFill="1" applyBorder="1" applyAlignment="1">
      <alignment horizontal="center"/>
    </xf>
    <xf numFmtId="2" fontId="4" fillId="11" borderId="8" xfId="0" applyNumberFormat="1" applyFont="1" applyFill="1" applyBorder="1" applyAlignment="1">
      <alignment horizontal="center"/>
    </xf>
    <xf numFmtId="2" fontId="7" fillId="11" borderId="8" xfId="0" applyNumberFormat="1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164" fontId="5" fillId="11" borderId="5" xfId="0" applyNumberFormat="1" applyFont="1" applyFill="1" applyBorder="1" applyAlignment="1">
      <alignment horizontal="center"/>
    </xf>
    <xf numFmtId="0" fontId="8" fillId="21" borderId="8" xfId="0" applyFont="1" applyFill="1" applyBorder="1"/>
    <xf numFmtId="2" fontId="4" fillId="21" borderId="8" xfId="0" applyNumberFormat="1" applyFont="1" applyFill="1" applyBorder="1" applyAlignment="1">
      <alignment horizontal="center"/>
    </xf>
    <xf numFmtId="2" fontId="4" fillId="17" borderId="3" xfId="0" applyNumberFormat="1" applyFont="1" applyFill="1" applyBorder="1" applyAlignment="1">
      <alignment horizontal="center"/>
    </xf>
    <xf numFmtId="2" fontId="7" fillId="21" borderId="8" xfId="0" applyNumberFormat="1" applyFont="1" applyFill="1" applyBorder="1" applyAlignment="1">
      <alignment horizontal="center"/>
    </xf>
    <xf numFmtId="2" fontId="7" fillId="17" borderId="3" xfId="0" applyNumberFormat="1" applyFont="1" applyFill="1" applyBorder="1" applyAlignment="1">
      <alignment horizontal="center"/>
    </xf>
    <xf numFmtId="0" fontId="8" fillId="21" borderId="8" xfId="0" applyFont="1" applyFill="1" applyBorder="1" applyAlignment="1">
      <alignment horizontal="center"/>
    </xf>
    <xf numFmtId="164" fontId="3" fillId="21" borderId="5" xfId="0" applyNumberFormat="1" applyFont="1" applyFill="1" applyBorder="1" applyAlignment="1">
      <alignment horizontal="center"/>
    </xf>
    <xf numFmtId="0" fontId="8" fillId="17" borderId="8" xfId="0" applyFont="1" applyFill="1" applyBorder="1" applyAlignment="1">
      <alignment horizontal="center"/>
    </xf>
    <xf numFmtId="164" fontId="3" fillId="17" borderId="5" xfId="0" applyNumberFormat="1" applyFont="1" applyFill="1" applyBorder="1" applyAlignment="1">
      <alignment horizontal="center"/>
    </xf>
    <xf numFmtId="0" fontId="8" fillId="22" borderId="3" xfId="0" applyFont="1" applyFill="1" applyBorder="1"/>
    <xf numFmtId="0" fontId="8" fillId="22" borderId="8" xfId="0" applyFont="1" applyFill="1" applyBorder="1"/>
    <xf numFmtId="0" fontId="0" fillId="22" borderId="8" xfId="0" applyFill="1" applyBorder="1"/>
    <xf numFmtId="0" fontId="8" fillId="23" borderId="3" xfId="0" applyFont="1" applyFill="1" applyBorder="1"/>
    <xf numFmtId="0" fontId="7" fillId="23" borderId="3" xfId="0" applyFont="1" applyFill="1" applyBorder="1"/>
    <xf numFmtId="4" fontId="8" fillId="23" borderId="3" xfId="0" applyNumberFormat="1" applyFont="1" applyFill="1" applyBorder="1" applyAlignment="1">
      <alignment horizontal="center"/>
    </xf>
    <xf numFmtId="164" fontId="8" fillId="23" borderId="3" xfId="0" applyNumberFormat="1" applyFont="1" applyFill="1" applyBorder="1" applyAlignment="1">
      <alignment horizontal="center"/>
    </xf>
    <xf numFmtId="0" fontId="16" fillId="23" borderId="4" xfId="0" applyFont="1" applyFill="1" applyBorder="1"/>
    <xf numFmtId="0" fontId="15" fillId="9" borderId="16" xfId="0" applyFont="1" applyFill="1" applyBorder="1"/>
    <xf numFmtId="4" fontId="15" fillId="9" borderId="16" xfId="0" applyNumberFormat="1" applyFont="1" applyFill="1" applyBorder="1" applyAlignment="1">
      <alignment horizontal="center"/>
    </xf>
    <xf numFmtId="164" fontId="15" fillId="9" borderId="16" xfId="0" applyNumberFormat="1" applyFont="1" applyFill="1" applyBorder="1" applyAlignment="1">
      <alignment horizontal="center"/>
    </xf>
    <xf numFmtId="0" fontId="0" fillId="9" borderId="17" xfId="0" applyFill="1" applyBorder="1"/>
    <xf numFmtId="0" fontId="14" fillId="8" borderId="4" xfId="0" applyFont="1" applyFill="1" applyBorder="1"/>
    <xf numFmtId="0" fontId="1" fillId="9" borderId="3" xfId="0" applyFont="1" applyFill="1" applyBorder="1" applyAlignment="1">
      <alignment horizontal="left"/>
    </xf>
    <xf numFmtId="0" fontId="8" fillId="10" borderId="8" xfId="0" applyFont="1" applyFill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7" fillId="0" borderId="8" xfId="0" applyFont="1" applyBorder="1" applyAlignment="1">
      <alignment vertical="top" wrapText="1"/>
    </xf>
    <xf numFmtId="0" fontId="0" fillId="22" borderId="9" xfId="0" applyFill="1" applyBorder="1"/>
    <xf numFmtId="0" fontId="12" fillId="9" borderId="0" xfId="0" applyFont="1" applyFill="1" applyAlignment="1">
      <alignment horizontal="left"/>
    </xf>
    <xf numFmtId="4" fontId="6" fillId="8" borderId="4" xfId="0" applyNumberFormat="1" applyFont="1" applyFill="1" applyBorder="1" applyAlignment="1">
      <alignment horizontal="center"/>
    </xf>
    <xf numFmtId="0" fontId="11" fillId="8" borderId="7" xfId="0" applyFont="1" applyFill="1" applyBorder="1"/>
    <xf numFmtId="4" fontId="12" fillId="9" borderId="3" xfId="0" applyNumberFormat="1" applyFont="1" applyFill="1" applyBorder="1" applyAlignment="1">
      <alignment horizontal="center"/>
    </xf>
    <xf numFmtId="4" fontId="12" fillId="9" borderId="4" xfId="0" applyNumberFormat="1" applyFont="1" applyFill="1" applyBorder="1" applyAlignment="1">
      <alignment horizontal="center"/>
    </xf>
    <xf numFmtId="166" fontId="18" fillId="9" borderId="7" xfId="0" applyNumberFormat="1" applyFont="1" applyFill="1" applyBorder="1"/>
    <xf numFmtId="4" fontId="12" fillId="9" borderId="18" xfId="0" applyNumberFormat="1" applyFont="1" applyFill="1" applyBorder="1" applyAlignment="1">
      <alignment horizontal="center"/>
    </xf>
    <xf numFmtId="0" fontId="13" fillId="12" borderId="0" xfId="1"/>
    <xf numFmtId="0" fontId="13" fillId="12" borderId="0" xfId="1" applyBorder="1" applyAlignment="1">
      <alignment horizontal="left"/>
    </xf>
    <xf numFmtId="3" fontId="13" fillId="12" borderId="0" xfId="1" applyNumberFormat="1"/>
    <xf numFmtId="10" fontId="0" fillId="0" borderId="0" xfId="0" applyNumberFormat="1"/>
    <xf numFmtId="0" fontId="0" fillId="0" borderId="0" xfId="0" applyAlignment="1">
      <alignment horizontal="right"/>
    </xf>
    <xf numFmtId="4" fontId="17" fillId="10" borderId="8" xfId="0" applyNumberFormat="1" applyFont="1" applyFill="1" applyBorder="1" applyAlignment="1">
      <alignment horizontal="center"/>
    </xf>
    <xf numFmtId="4" fontId="17" fillId="10" borderId="3" xfId="0" applyNumberFormat="1" applyFont="1" applyFill="1" applyBorder="1" applyAlignment="1">
      <alignment horizontal="center"/>
    </xf>
    <xf numFmtId="0" fontId="8" fillId="8" borderId="15" xfId="0" applyFont="1" applyFill="1" applyBorder="1"/>
    <xf numFmtId="0" fontId="0" fillId="8" borderId="14" xfId="0" applyFill="1" applyBorder="1"/>
    <xf numFmtId="164" fontId="8" fillId="8" borderId="15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1" fillId="25" borderId="19" xfId="0" applyFont="1" applyFill="1" applyBorder="1" applyAlignment="1">
      <alignment horizontal="center"/>
    </xf>
    <xf numFmtId="0" fontId="20" fillId="25" borderId="19" xfId="0" applyFont="1" applyFill="1" applyBorder="1" applyAlignment="1">
      <alignment horizontal="center"/>
    </xf>
    <xf numFmtId="0" fontId="20" fillId="25" borderId="20" xfId="0" applyFont="1" applyFill="1" applyBorder="1" applyAlignment="1">
      <alignment horizontal="center"/>
    </xf>
    <xf numFmtId="0" fontId="19" fillId="16" borderId="19" xfId="0" applyFont="1" applyFill="1" applyBorder="1" applyAlignment="1">
      <alignment horizontal="center"/>
    </xf>
    <xf numFmtId="0" fontId="19" fillId="16" borderId="19" xfId="0" applyFont="1" applyFill="1" applyBorder="1"/>
    <xf numFmtId="0" fontId="20" fillId="25" borderId="19" xfId="0" applyFont="1" applyFill="1" applyBorder="1"/>
    <xf numFmtId="4" fontId="22" fillId="25" borderId="19" xfId="0" applyNumberFormat="1" applyFont="1" applyFill="1" applyBorder="1" applyAlignment="1">
      <alignment horizontal="center"/>
    </xf>
    <xf numFmtId="4" fontId="20" fillId="25" borderId="19" xfId="0" applyNumberFormat="1" applyFont="1" applyFill="1" applyBorder="1" applyAlignment="1">
      <alignment horizontal="center"/>
    </xf>
    <xf numFmtId="3" fontId="20" fillId="25" borderId="19" xfId="0" applyNumberFormat="1" applyFont="1" applyFill="1" applyBorder="1" applyAlignment="1">
      <alignment horizontal="center"/>
    </xf>
    <xf numFmtId="0" fontId="22" fillId="25" borderId="19" xfId="0" applyFont="1" applyFill="1" applyBorder="1"/>
    <xf numFmtId="0" fontId="3" fillId="26" borderId="21" xfId="0" applyFont="1" applyFill="1" applyBorder="1"/>
    <xf numFmtId="0" fontId="3" fillId="26" borderId="22" xfId="0" applyFont="1" applyFill="1" applyBorder="1"/>
    <xf numFmtId="4" fontId="3" fillId="26" borderId="23" xfId="0" applyNumberFormat="1" applyFont="1" applyFill="1" applyBorder="1" applyAlignment="1">
      <alignment horizontal="center"/>
    </xf>
    <xf numFmtId="0" fontId="3" fillId="26" borderId="23" xfId="0" applyFont="1" applyFill="1" applyBorder="1" applyAlignment="1">
      <alignment horizontal="center"/>
    </xf>
    <xf numFmtId="0" fontId="3" fillId="26" borderId="24" xfId="0" applyFont="1" applyFill="1" applyBorder="1"/>
    <xf numFmtId="0" fontId="1" fillId="9" borderId="0" xfId="0" applyFont="1" applyFill="1" applyAlignment="1">
      <alignment horizontal="left"/>
    </xf>
    <xf numFmtId="0" fontId="12" fillId="24" borderId="0" xfId="0" applyFont="1" applyFill="1"/>
    <xf numFmtId="0" fontId="1" fillId="9" borderId="0" xfId="0" applyFont="1" applyFill="1"/>
    <xf numFmtId="0" fontId="0" fillId="16" borderId="19" xfId="0" applyFill="1" applyBorder="1"/>
    <xf numFmtId="0" fontId="23" fillId="16" borderId="19" xfId="0" applyFont="1" applyFill="1" applyBorder="1"/>
    <xf numFmtId="0" fontId="22" fillId="25" borderId="19" xfId="0" applyFont="1" applyFill="1" applyBorder="1" applyAlignment="1">
      <alignment horizontal="center"/>
    </xf>
    <xf numFmtId="0" fontId="23" fillId="16" borderId="19" xfId="0" applyFont="1" applyFill="1" applyBorder="1" applyAlignment="1">
      <alignment horizontal="center"/>
    </xf>
    <xf numFmtId="166" fontId="20" fillId="25" borderId="19" xfId="0" applyNumberFormat="1" applyFont="1" applyFill="1" applyBorder="1" applyAlignment="1">
      <alignment horizontal="center"/>
    </xf>
    <xf numFmtId="9" fontId="21" fillId="25" borderId="19" xfId="0" applyNumberFormat="1" applyFont="1" applyFill="1" applyBorder="1" applyAlignment="1">
      <alignment horizontal="center"/>
    </xf>
    <xf numFmtId="3" fontId="23" fillId="15" borderId="19" xfId="0" applyNumberFormat="1" applyFont="1" applyFill="1" applyBorder="1" applyAlignment="1">
      <alignment horizontal="center"/>
    </xf>
    <xf numFmtId="0" fontId="23" fillId="15" borderId="19" xfId="0" applyFont="1" applyFill="1" applyBorder="1"/>
    <xf numFmtId="3" fontId="21" fillId="25" borderId="19" xfId="0" applyNumberFormat="1" applyFont="1" applyFill="1" applyBorder="1" applyAlignment="1">
      <alignment horizontal="center"/>
    </xf>
    <xf numFmtId="166" fontId="23" fillId="15" borderId="19" xfId="0" applyNumberFormat="1" applyFont="1" applyFill="1" applyBorder="1" applyAlignment="1">
      <alignment horizontal="center"/>
    </xf>
    <xf numFmtId="0" fontId="23" fillId="15" borderId="19" xfId="0" applyFont="1" applyFill="1" applyBorder="1" applyAlignment="1">
      <alignment horizontal="center"/>
    </xf>
    <xf numFmtId="0" fontId="22" fillId="25" borderId="20" xfId="0" applyFont="1" applyFill="1" applyBorder="1"/>
    <xf numFmtId="0" fontId="22" fillId="25" borderId="20" xfId="0" applyFont="1" applyFill="1" applyBorder="1" applyAlignment="1">
      <alignment horizontal="center"/>
    </xf>
    <xf numFmtId="166" fontId="20" fillId="25" borderId="20" xfId="0" applyNumberFormat="1" applyFont="1" applyFill="1" applyBorder="1" applyAlignment="1">
      <alignment horizontal="center"/>
    </xf>
    <xf numFmtId="0" fontId="24" fillId="26" borderId="23" xfId="0" applyFont="1" applyFill="1" applyBorder="1"/>
    <xf numFmtId="0" fontId="23" fillId="26" borderId="23" xfId="0" applyFont="1" applyFill="1" applyBorder="1" applyAlignment="1">
      <alignment horizontal="center"/>
    </xf>
    <xf numFmtId="166" fontId="23" fillId="26" borderId="23" xfId="0" applyNumberFormat="1" applyFont="1" applyFill="1" applyBorder="1" applyAlignment="1">
      <alignment horizontal="center"/>
    </xf>
    <xf numFmtId="0" fontId="15" fillId="9" borderId="21" xfId="0" applyFont="1" applyFill="1" applyBorder="1"/>
    <xf numFmtId="0" fontId="26" fillId="26" borderId="21" xfId="0" applyFont="1" applyFill="1" applyBorder="1" applyAlignment="1">
      <alignment horizontal="center"/>
    </xf>
    <xf numFmtId="0" fontId="19" fillId="26" borderId="21" xfId="0" applyFont="1" applyFill="1" applyBorder="1"/>
    <xf numFmtId="0" fontId="1" fillId="9" borderId="21" xfId="0" applyFont="1" applyFill="1" applyBorder="1" applyAlignment="1">
      <alignment horizontal="center"/>
    </xf>
    <xf numFmtId="0" fontId="15" fillId="9" borderId="21" xfId="0" applyFont="1" applyFill="1" applyBorder="1" applyAlignment="1">
      <alignment horizontal="center"/>
    </xf>
    <xf numFmtId="0" fontId="25" fillId="9" borderId="21" xfId="0" applyFont="1" applyFill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DC3E6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F27006-3A9D-5345-B60C-40450ADE9D0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732120a-19c4-4150-9e5c-46fc648ebc0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Normal="100" workbookViewId="0">
      <selection activeCell="C21" sqref="C21"/>
    </sheetView>
  </sheetViews>
  <sheetFormatPr baseColWidth="10" defaultColWidth="8.6640625" defaultRowHeight="15" x14ac:dyDescent="0.2"/>
  <cols>
    <col min="1" max="1" width="32.83203125" customWidth="1"/>
    <col min="2" max="2" width="18" customWidth="1"/>
    <col min="3" max="3" width="22" customWidth="1"/>
    <col min="4" max="4" width="14" customWidth="1"/>
    <col min="5" max="5" width="38" customWidth="1"/>
  </cols>
  <sheetData>
    <row r="1" spans="1:5" ht="27.75" customHeight="1" x14ac:dyDescent="0.2">
      <c r="A1" s="209" t="s">
        <v>23</v>
      </c>
      <c r="B1" s="209"/>
      <c r="C1" s="209"/>
      <c r="D1" s="209"/>
      <c r="E1" s="209"/>
    </row>
    <row r="2" spans="1:5" ht="15" customHeight="1" x14ac:dyDescent="0.2">
      <c r="A2" s="210" t="s">
        <v>3</v>
      </c>
      <c r="B2" s="210"/>
      <c r="C2" s="210"/>
      <c r="D2" s="210"/>
      <c r="E2" s="210"/>
    </row>
    <row r="3" spans="1:5" ht="9.75" customHeight="1" x14ac:dyDescent="0.2"/>
    <row r="4" spans="1:5" ht="39.75" customHeight="1" x14ac:dyDescent="0.2">
      <c r="A4" s="2" t="s">
        <v>4</v>
      </c>
      <c r="B4" s="2" t="s">
        <v>24</v>
      </c>
      <c r="C4" s="2" t="s">
        <v>9</v>
      </c>
      <c r="D4" s="2" t="s">
        <v>10</v>
      </c>
      <c r="E4" s="2" t="s">
        <v>11</v>
      </c>
    </row>
    <row r="5" spans="1:5" x14ac:dyDescent="0.2">
      <c r="A5" s="3" t="s">
        <v>0</v>
      </c>
      <c r="B5" s="1">
        <v>204</v>
      </c>
      <c r="C5" s="1">
        <v>2</v>
      </c>
      <c r="D5" s="4">
        <f>SUM(B5:C5)</f>
        <v>206</v>
      </c>
      <c r="E5" s="5"/>
    </row>
    <row r="6" spans="1:5" x14ac:dyDescent="0.2">
      <c r="A6" s="3" t="s">
        <v>1</v>
      </c>
      <c r="B6" s="1">
        <v>156</v>
      </c>
      <c r="C6" s="1">
        <v>7</v>
      </c>
      <c r="D6" s="4">
        <f>SUM(B6:C6)</f>
        <v>163</v>
      </c>
      <c r="E6" s="5"/>
    </row>
    <row r="7" spans="1:5" x14ac:dyDescent="0.2">
      <c r="A7" s="6" t="s">
        <v>5</v>
      </c>
      <c r="B7" s="7">
        <f>SUM(B5:B6)</f>
        <v>360</v>
      </c>
      <c r="C7" s="7">
        <f>SUM(C5:C6)</f>
        <v>9</v>
      </c>
      <c r="D7" s="7">
        <f>SUM(D5:D6)</f>
        <v>369</v>
      </c>
      <c r="E7" s="8"/>
    </row>
    <row r="8" spans="1:5" ht="9.75" customHeight="1" x14ac:dyDescent="0.2"/>
    <row r="9" spans="1:5" ht="15" customHeight="1" x14ac:dyDescent="0.2">
      <c r="A9" s="211" t="s">
        <v>6</v>
      </c>
      <c r="B9" s="211"/>
      <c r="C9" s="211"/>
      <c r="D9" s="211"/>
      <c r="E9" s="211"/>
    </row>
    <row r="10" spans="1:5" x14ac:dyDescent="0.2">
      <c r="A10" s="2" t="s">
        <v>7</v>
      </c>
      <c r="B10" s="10" t="s">
        <v>12</v>
      </c>
      <c r="C10" s="12" t="s">
        <v>13</v>
      </c>
    </row>
    <row r="11" spans="1:5" x14ac:dyDescent="0.2">
      <c r="A11" s="5" t="s">
        <v>25</v>
      </c>
      <c r="B11" s="11">
        <f>B7</f>
        <v>360</v>
      </c>
      <c r="C11" s="14">
        <f>B11/$D$7</f>
        <v>0.97560975609756095</v>
      </c>
    </row>
    <row r="12" spans="1:5" x14ac:dyDescent="0.2">
      <c r="A12" s="5" t="s">
        <v>8</v>
      </c>
      <c r="B12" s="11">
        <f>C7</f>
        <v>9</v>
      </c>
      <c r="C12" s="13">
        <f>B12/$D$7</f>
        <v>2.4390243902439025E-2</v>
      </c>
    </row>
    <row r="13" spans="1:5" x14ac:dyDescent="0.2">
      <c r="A13" s="6" t="s">
        <v>2</v>
      </c>
      <c r="B13" s="9">
        <f>SUM(B11:B12)</f>
        <v>369</v>
      </c>
      <c r="C13" s="15">
        <f>SUM(C11:C12)</f>
        <v>1</v>
      </c>
    </row>
    <row r="14" spans="1:5" ht="9.75" customHeight="1" x14ac:dyDescent="0.2"/>
    <row r="15" spans="1:5" x14ac:dyDescent="0.2">
      <c r="A15" s="59" t="s">
        <v>109</v>
      </c>
      <c r="B15" s="58"/>
      <c r="C15" s="58"/>
      <c r="D15" s="64"/>
    </row>
    <row r="16" spans="1:5" x14ac:dyDescent="0.2">
      <c r="A16" s="70" t="s">
        <v>110</v>
      </c>
      <c r="B16" s="70" t="s">
        <v>28</v>
      </c>
      <c r="C16" s="70" t="s">
        <v>111</v>
      </c>
      <c r="D16" s="70" t="s">
        <v>29</v>
      </c>
      <c r="E16" s="71" t="s">
        <v>119</v>
      </c>
    </row>
    <row r="17" spans="1:5" x14ac:dyDescent="0.2">
      <c r="A17" s="18" t="s">
        <v>112</v>
      </c>
      <c r="B17" s="105">
        <f>'2.Program'!C99-SUM('2.Program'!C17,'2.Program'!C28,'2.Program'!C39,'2.Program'!C50,'2.Program'!C61,'2.Program'!C72,'2.Program'!C83,'2.Program'!C94)</f>
        <v>338</v>
      </c>
      <c r="C17" s="106">
        <v>1</v>
      </c>
      <c r="D17" s="72">
        <f>B17*C17</f>
        <v>338</v>
      </c>
      <c r="E17" s="115"/>
    </row>
    <row r="18" spans="1:5" x14ac:dyDescent="0.2">
      <c r="A18" s="18" t="s">
        <v>113</v>
      </c>
      <c r="B18" s="72">
        <f>SUM('2.Program'!C17,'2.Program'!C28,'2.Program'!C39,'2.Program'!C50,'2.Program'!C61,'2.Program'!C72,'2.Program'!C83,'2.Program'!C94)</f>
        <v>8</v>
      </c>
      <c r="C18" s="106">
        <v>2</v>
      </c>
      <c r="D18" s="72">
        <f>B18*C18</f>
        <v>16</v>
      </c>
      <c r="E18" s="115"/>
    </row>
    <row r="19" spans="1:5" x14ac:dyDescent="0.2">
      <c r="A19" s="82" t="s">
        <v>114</v>
      </c>
      <c r="B19" s="107">
        <f>SUM(B17:B18)</f>
        <v>346</v>
      </c>
      <c r="C19" s="83"/>
      <c r="D19" s="107">
        <f>SUM(D17:D18)</f>
        <v>354</v>
      </c>
      <c r="E19" s="85"/>
    </row>
    <row r="20" spans="1:5" x14ac:dyDescent="0.2">
      <c r="A20" s="110" t="s">
        <v>117</v>
      </c>
      <c r="B20" s="112">
        <v>0.02</v>
      </c>
      <c r="C20" s="73" t="s">
        <v>118</v>
      </c>
      <c r="D20" s="73">
        <f>ROUNDUP(D19*B20,0)</f>
        <v>8</v>
      </c>
      <c r="E20" s="116">
        <f>C7-D20</f>
        <v>1</v>
      </c>
    </row>
    <row r="21" spans="1:5" ht="17" thickBot="1" x14ac:dyDescent="0.25">
      <c r="A21" s="109" t="s">
        <v>115</v>
      </c>
      <c r="B21" s="111"/>
      <c r="C21" s="111"/>
      <c r="D21" s="113">
        <f>D7-D19</f>
        <v>15</v>
      </c>
      <c r="E21" s="114" t="s">
        <v>116</v>
      </c>
    </row>
  </sheetData>
  <mergeCells count="3">
    <mergeCell ref="A1:E1"/>
    <mergeCell ref="A2:E2"/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1"/>
  <sheetViews>
    <sheetView zoomScale="115" zoomScaleNormal="100" workbookViewId="0">
      <selection activeCell="J4" sqref="J4"/>
    </sheetView>
  </sheetViews>
  <sheetFormatPr baseColWidth="10" defaultColWidth="8.6640625" defaultRowHeight="15" outlineLevelRow="1" x14ac:dyDescent="0.2"/>
  <cols>
    <col min="1" max="1" width="28" customWidth="1"/>
    <col min="2" max="2" width="22" customWidth="1"/>
    <col min="3" max="4" width="18.33203125" customWidth="1"/>
    <col min="5" max="6" width="21.5" customWidth="1"/>
    <col min="7" max="7" width="18.83203125" customWidth="1"/>
    <col min="8" max="8" width="17.6640625" customWidth="1"/>
    <col min="9" max="9" width="14" customWidth="1"/>
  </cols>
  <sheetData>
    <row r="1" spans="1:9" ht="27.75" customHeight="1" x14ac:dyDescent="0.2">
      <c r="A1" s="209" t="s">
        <v>46</v>
      </c>
      <c r="B1" s="209"/>
      <c r="C1" s="209"/>
      <c r="D1" s="209"/>
      <c r="E1" s="209"/>
      <c r="F1" s="209"/>
      <c r="G1" s="209"/>
    </row>
    <row r="2" spans="1:9" ht="15" customHeight="1" x14ac:dyDescent="0.2">
      <c r="A2" s="210"/>
      <c r="B2" s="210"/>
      <c r="C2" s="210"/>
      <c r="D2" s="210"/>
      <c r="E2" s="210"/>
      <c r="F2" s="210"/>
      <c r="G2" s="210"/>
    </row>
    <row r="3" spans="1:9" ht="9.75" customHeight="1" x14ac:dyDescent="0.2"/>
    <row r="4" spans="1:9" ht="15" customHeight="1" x14ac:dyDescent="0.2">
      <c r="A4" s="211" t="s">
        <v>14</v>
      </c>
      <c r="B4" s="211"/>
      <c r="C4" s="211"/>
      <c r="D4" s="211"/>
      <c r="E4" s="211"/>
      <c r="F4" s="211"/>
      <c r="G4" s="211"/>
    </row>
    <row r="5" spans="1:9" ht="15" customHeight="1" x14ac:dyDescent="0.2">
      <c r="A5" s="3" t="s">
        <v>15</v>
      </c>
      <c r="B5" s="212" t="s">
        <v>48</v>
      </c>
      <c r="C5" s="212"/>
      <c r="D5" s="212"/>
      <c r="E5" s="212"/>
      <c r="F5" s="212"/>
      <c r="G5" s="212"/>
    </row>
    <row r="6" spans="1:9" ht="15" customHeight="1" x14ac:dyDescent="0.2">
      <c r="A6" s="3" t="s">
        <v>16</v>
      </c>
      <c r="B6" s="212" t="s">
        <v>47</v>
      </c>
      <c r="C6" s="212"/>
      <c r="D6" s="212"/>
      <c r="E6" s="212"/>
      <c r="F6" s="212"/>
      <c r="G6" s="212"/>
    </row>
    <row r="7" spans="1:9" ht="39.75" customHeight="1" x14ac:dyDescent="0.2">
      <c r="A7" s="42" t="s">
        <v>26</v>
      </c>
      <c r="B7" s="19"/>
      <c r="C7" s="19"/>
      <c r="D7" s="19"/>
      <c r="E7" s="19"/>
      <c r="F7" s="19"/>
      <c r="G7" s="19"/>
      <c r="H7" s="19"/>
    </row>
    <row r="8" spans="1:9" x14ac:dyDescent="0.2">
      <c r="A8" s="16" t="s">
        <v>27</v>
      </c>
      <c r="B8" s="16" t="s">
        <v>17</v>
      </c>
      <c r="C8" s="16" t="s">
        <v>28</v>
      </c>
      <c r="D8" s="16" t="s">
        <v>61</v>
      </c>
      <c r="E8" s="16" t="s">
        <v>62</v>
      </c>
      <c r="F8" s="53" t="s">
        <v>167</v>
      </c>
      <c r="G8" s="57" t="s">
        <v>68</v>
      </c>
      <c r="H8" s="16" t="s">
        <v>69</v>
      </c>
      <c r="I8" s="53" t="s">
        <v>73</v>
      </c>
    </row>
    <row r="9" spans="1:9" outlineLevel="1" x14ac:dyDescent="0.2">
      <c r="A9" s="17" t="s">
        <v>30</v>
      </c>
      <c r="B9" s="18" t="s">
        <v>49</v>
      </c>
      <c r="C9" s="20">
        <v>23</v>
      </c>
      <c r="D9" s="22">
        <f t="shared" ref="D9:D17" si="0">VLOOKUP(B9,$A$144:$D$156,2,FALSE)</f>
        <v>31</v>
      </c>
      <c r="E9" s="22">
        <f t="shared" ref="E9:E17" si="1">VLOOKUP(B9,$A$144:$D$156,3,FALSE)</f>
        <v>8</v>
      </c>
      <c r="F9" s="38">
        <f>E9*C9</f>
        <v>184</v>
      </c>
      <c r="G9" s="45">
        <f>D9+E9</f>
        <v>39</v>
      </c>
      <c r="H9" s="24">
        <f t="shared" ref="H9:H17" si="2">C9*G9</f>
        <v>897</v>
      </c>
      <c r="I9">
        <f t="shared" ref="I9:I17" si="3">C9*D9</f>
        <v>713</v>
      </c>
    </row>
    <row r="10" spans="1:9" outlineLevel="1" x14ac:dyDescent="0.2">
      <c r="A10" s="27"/>
      <c r="B10" s="18" t="s">
        <v>50</v>
      </c>
      <c r="C10" s="20">
        <v>1</v>
      </c>
      <c r="D10" s="22">
        <f t="shared" si="0"/>
        <v>64.81</v>
      </c>
      <c r="E10" s="22">
        <f t="shared" si="1"/>
        <v>12</v>
      </c>
      <c r="F10" s="22">
        <f t="shared" ref="F10:F72" si="4">E10*C10</f>
        <v>12</v>
      </c>
      <c r="G10" s="45">
        <f t="shared" ref="G10:G17" si="5">D10+E10</f>
        <v>76.81</v>
      </c>
      <c r="H10" s="24">
        <f t="shared" si="2"/>
        <v>76.81</v>
      </c>
      <c r="I10">
        <f t="shared" si="3"/>
        <v>64.81</v>
      </c>
    </row>
    <row r="11" spans="1:9" outlineLevel="1" x14ac:dyDescent="0.2">
      <c r="A11" s="27"/>
      <c r="B11" s="18" t="s">
        <v>51</v>
      </c>
      <c r="C11" s="20">
        <v>12</v>
      </c>
      <c r="D11" s="22">
        <f t="shared" si="0"/>
        <v>61.75</v>
      </c>
      <c r="E11" s="22">
        <f t="shared" si="1"/>
        <v>12</v>
      </c>
      <c r="F11" s="22">
        <f t="shared" si="4"/>
        <v>144</v>
      </c>
      <c r="G11" s="45">
        <f t="shared" si="5"/>
        <v>73.75</v>
      </c>
      <c r="H11" s="24">
        <f t="shared" si="2"/>
        <v>885</v>
      </c>
      <c r="I11">
        <f t="shared" si="3"/>
        <v>741</v>
      </c>
    </row>
    <row r="12" spans="1:9" outlineLevel="1" x14ac:dyDescent="0.2">
      <c r="A12" s="27"/>
      <c r="B12" s="18" t="s">
        <v>52</v>
      </c>
      <c r="C12" s="20">
        <v>2</v>
      </c>
      <c r="D12" s="22">
        <f t="shared" si="0"/>
        <v>64.069999999999993</v>
      </c>
      <c r="E12" s="22">
        <f t="shared" si="1"/>
        <v>12</v>
      </c>
      <c r="F12" s="22">
        <f t="shared" si="4"/>
        <v>24</v>
      </c>
      <c r="G12" s="45">
        <f t="shared" si="5"/>
        <v>76.069999999999993</v>
      </c>
      <c r="H12" s="24">
        <f t="shared" si="2"/>
        <v>152.13999999999999</v>
      </c>
      <c r="I12">
        <f t="shared" si="3"/>
        <v>128.13999999999999</v>
      </c>
    </row>
    <row r="13" spans="1:9" outlineLevel="1" x14ac:dyDescent="0.2">
      <c r="A13" s="27"/>
      <c r="B13" s="18" t="s">
        <v>60</v>
      </c>
      <c r="C13" s="20">
        <v>1</v>
      </c>
      <c r="D13" s="22">
        <f t="shared" si="0"/>
        <v>63.74</v>
      </c>
      <c r="E13" s="22">
        <f t="shared" si="1"/>
        <v>12</v>
      </c>
      <c r="F13" s="22">
        <f t="shared" si="4"/>
        <v>12</v>
      </c>
      <c r="G13" s="45">
        <f t="shared" si="5"/>
        <v>75.740000000000009</v>
      </c>
      <c r="H13" s="24">
        <f t="shared" si="2"/>
        <v>75.740000000000009</v>
      </c>
      <c r="I13">
        <f t="shared" si="3"/>
        <v>63.74</v>
      </c>
    </row>
    <row r="14" spans="1:9" outlineLevel="1" x14ac:dyDescent="0.2">
      <c r="A14" s="27"/>
      <c r="B14" s="18" t="s">
        <v>53</v>
      </c>
      <c r="C14" s="20">
        <v>1</v>
      </c>
      <c r="D14" s="22">
        <f t="shared" si="0"/>
        <v>89.61</v>
      </c>
      <c r="E14" s="22">
        <f t="shared" si="1"/>
        <v>33</v>
      </c>
      <c r="F14" s="22">
        <f t="shared" si="4"/>
        <v>33</v>
      </c>
      <c r="G14" s="45">
        <f t="shared" si="5"/>
        <v>122.61</v>
      </c>
      <c r="H14" s="24">
        <f t="shared" si="2"/>
        <v>122.61</v>
      </c>
      <c r="I14">
        <f t="shared" si="3"/>
        <v>89.61</v>
      </c>
    </row>
    <row r="15" spans="1:9" outlineLevel="1" x14ac:dyDescent="0.2">
      <c r="A15" s="27"/>
      <c r="B15" s="18" t="s">
        <v>54</v>
      </c>
      <c r="C15" s="20">
        <v>2</v>
      </c>
      <c r="D15" s="22">
        <f t="shared" si="0"/>
        <v>86.09</v>
      </c>
      <c r="E15" s="22">
        <f t="shared" si="1"/>
        <v>33</v>
      </c>
      <c r="F15" s="22">
        <f t="shared" si="4"/>
        <v>66</v>
      </c>
      <c r="G15" s="45">
        <f t="shared" si="5"/>
        <v>119.09</v>
      </c>
      <c r="H15" s="24">
        <f t="shared" si="2"/>
        <v>238.18</v>
      </c>
      <c r="I15">
        <f t="shared" si="3"/>
        <v>172.18</v>
      </c>
    </row>
    <row r="16" spans="1:9" outlineLevel="1" x14ac:dyDescent="0.2">
      <c r="A16" s="27"/>
      <c r="B16" s="18" t="s">
        <v>55</v>
      </c>
      <c r="C16" s="20">
        <v>2</v>
      </c>
      <c r="D16" s="22">
        <f t="shared" si="0"/>
        <v>85.31</v>
      </c>
      <c r="E16" s="22">
        <f t="shared" si="1"/>
        <v>33</v>
      </c>
      <c r="F16" s="22">
        <f t="shared" si="4"/>
        <v>66</v>
      </c>
      <c r="G16" s="45">
        <f t="shared" si="5"/>
        <v>118.31</v>
      </c>
      <c r="H16" s="24">
        <f t="shared" si="2"/>
        <v>236.62</v>
      </c>
      <c r="I16">
        <f t="shared" si="3"/>
        <v>170.62</v>
      </c>
    </row>
    <row r="17" spans="1:9" outlineLevel="1" x14ac:dyDescent="0.2">
      <c r="A17" s="27"/>
      <c r="B17" s="18" t="s">
        <v>59</v>
      </c>
      <c r="C17" s="20">
        <v>1</v>
      </c>
      <c r="D17" s="22">
        <f t="shared" si="0"/>
        <v>133.4</v>
      </c>
      <c r="E17" s="22">
        <f t="shared" si="1"/>
        <v>33</v>
      </c>
      <c r="F17" s="22">
        <f t="shared" si="4"/>
        <v>33</v>
      </c>
      <c r="G17" s="45">
        <f t="shared" si="5"/>
        <v>166.4</v>
      </c>
      <c r="H17" s="24">
        <f t="shared" si="2"/>
        <v>166.4</v>
      </c>
      <c r="I17">
        <f t="shared" si="3"/>
        <v>133.4</v>
      </c>
    </row>
    <row r="18" spans="1:9" ht="15" customHeight="1" x14ac:dyDescent="0.2">
      <c r="A18" s="28" t="s">
        <v>31</v>
      </c>
      <c r="B18" s="29"/>
      <c r="C18" s="30">
        <f>SUM(C9:C17)</f>
        <v>45</v>
      </c>
      <c r="D18" s="29"/>
      <c r="E18" s="29"/>
      <c r="F18" s="193">
        <f>SUM(F9:F17)</f>
        <v>574</v>
      </c>
      <c r="G18" s="194"/>
      <c r="H18" s="32">
        <f>SUM(H9:H17)</f>
        <v>2850.4999999999995</v>
      </c>
      <c r="I18" s="69">
        <f>SUM(I9:I17)</f>
        <v>2276.5</v>
      </c>
    </row>
    <row r="19" spans="1:9" ht="39.75" customHeight="1" outlineLevel="1" x14ac:dyDescent="0.2">
      <c r="A19" s="17" t="s">
        <v>32</v>
      </c>
      <c r="B19" s="18" t="s">
        <v>49</v>
      </c>
      <c r="C19" s="20">
        <v>23</v>
      </c>
      <c r="D19" s="22">
        <f t="shared" ref="D19:D28" si="6">VLOOKUP(B19,$A$144:$D$156,2,FALSE)</f>
        <v>31</v>
      </c>
      <c r="E19" s="22">
        <f t="shared" ref="E19:E28" si="7">VLOOKUP(B19,$A$144:$D$156,3,FALSE)</f>
        <v>8</v>
      </c>
      <c r="F19" s="38">
        <f t="shared" si="4"/>
        <v>184</v>
      </c>
      <c r="G19" s="45">
        <f t="shared" ref="G19:G28" si="8">D19+E19</f>
        <v>39</v>
      </c>
      <c r="H19" s="24">
        <f t="shared" ref="H19:H28" si="9">C19*G19</f>
        <v>897</v>
      </c>
      <c r="I19">
        <f t="shared" ref="I19:I28" si="10">C19*D19</f>
        <v>713</v>
      </c>
    </row>
    <row r="20" spans="1:9" outlineLevel="1" x14ac:dyDescent="0.2">
      <c r="A20" s="27"/>
      <c r="B20" s="18" t="s">
        <v>50</v>
      </c>
      <c r="C20" s="20">
        <v>0</v>
      </c>
      <c r="D20" s="22">
        <f t="shared" si="6"/>
        <v>64.81</v>
      </c>
      <c r="E20" s="22">
        <f t="shared" si="7"/>
        <v>12</v>
      </c>
      <c r="F20" s="22">
        <f t="shared" si="4"/>
        <v>0</v>
      </c>
      <c r="G20" s="45">
        <f t="shared" si="8"/>
        <v>76.81</v>
      </c>
      <c r="H20" s="24">
        <f t="shared" si="9"/>
        <v>0</v>
      </c>
      <c r="I20">
        <f t="shared" si="10"/>
        <v>0</v>
      </c>
    </row>
    <row r="21" spans="1:9" outlineLevel="1" x14ac:dyDescent="0.2">
      <c r="A21" s="27"/>
      <c r="B21" s="18" t="s">
        <v>51</v>
      </c>
      <c r="C21" s="20">
        <v>12</v>
      </c>
      <c r="D21" s="22">
        <f t="shared" si="6"/>
        <v>61.75</v>
      </c>
      <c r="E21" s="22">
        <f t="shared" si="7"/>
        <v>12</v>
      </c>
      <c r="F21" s="22">
        <f t="shared" si="4"/>
        <v>144</v>
      </c>
      <c r="G21" s="45">
        <f t="shared" si="8"/>
        <v>73.75</v>
      </c>
      <c r="H21" s="24">
        <f t="shared" si="9"/>
        <v>885</v>
      </c>
      <c r="I21">
        <f t="shared" si="10"/>
        <v>741</v>
      </c>
    </row>
    <row r="22" spans="1:9" outlineLevel="1" x14ac:dyDescent="0.2">
      <c r="A22" s="27"/>
      <c r="B22" s="18" t="s">
        <v>52</v>
      </c>
      <c r="C22" s="20">
        <v>1</v>
      </c>
      <c r="D22" s="22">
        <f t="shared" si="6"/>
        <v>64.069999999999993</v>
      </c>
      <c r="E22" s="22">
        <f t="shared" si="7"/>
        <v>12</v>
      </c>
      <c r="F22" s="22">
        <f t="shared" si="4"/>
        <v>12</v>
      </c>
      <c r="G22" s="45">
        <f t="shared" si="8"/>
        <v>76.069999999999993</v>
      </c>
      <c r="H22" s="24">
        <f t="shared" si="9"/>
        <v>76.069999999999993</v>
      </c>
      <c r="I22">
        <f t="shared" si="10"/>
        <v>64.069999999999993</v>
      </c>
    </row>
    <row r="23" spans="1:9" outlineLevel="1" x14ac:dyDescent="0.2">
      <c r="A23" s="27"/>
      <c r="B23" s="18" t="s">
        <v>60</v>
      </c>
      <c r="C23" s="20">
        <v>1</v>
      </c>
      <c r="D23" s="22">
        <f t="shared" si="6"/>
        <v>63.74</v>
      </c>
      <c r="E23" s="22">
        <f t="shared" si="7"/>
        <v>12</v>
      </c>
      <c r="F23" s="22">
        <f t="shared" si="4"/>
        <v>12</v>
      </c>
      <c r="G23" s="45">
        <f t="shared" si="8"/>
        <v>75.740000000000009</v>
      </c>
      <c r="H23" s="24">
        <f t="shared" si="9"/>
        <v>75.740000000000009</v>
      </c>
      <c r="I23">
        <f t="shared" si="10"/>
        <v>63.74</v>
      </c>
    </row>
    <row r="24" spans="1:9" outlineLevel="1" x14ac:dyDescent="0.2">
      <c r="A24" s="27"/>
      <c r="B24" s="18" t="s">
        <v>53</v>
      </c>
      <c r="C24" s="20">
        <v>1</v>
      </c>
      <c r="D24" s="22">
        <f t="shared" si="6"/>
        <v>89.61</v>
      </c>
      <c r="E24" s="22">
        <f t="shared" si="7"/>
        <v>33</v>
      </c>
      <c r="F24" s="22">
        <f t="shared" si="4"/>
        <v>33</v>
      </c>
      <c r="G24" s="45">
        <f t="shared" si="8"/>
        <v>122.61</v>
      </c>
      <c r="H24" s="24">
        <f t="shared" si="9"/>
        <v>122.61</v>
      </c>
      <c r="I24">
        <f t="shared" si="10"/>
        <v>89.61</v>
      </c>
    </row>
    <row r="25" spans="1:9" outlineLevel="1" x14ac:dyDescent="0.2">
      <c r="A25" s="27"/>
      <c r="B25" s="18" t="s">
        <v>54</v>
      </c>
      <c r="C25" s="20">
        <v>2</v>
      </c>
      <c r="D25" s="22">
        <f t="shared" si="6"/>
        <v>86.09</v>
      </c>
      <c r="E25" s="22">
        <f t="shared" si="7"/>
        <v>33</v>
      </c>
      <c r="F25" s="22">
        <f t="shared" si="4"/>
        <v>66</v>
      </c>
      <c r="G25" s="45">
        <f t="shared" si="8"/>
        <v>119.09</v>
      </c>
      <c r="H25" s="24">
        <f t="shared" si="9"/>
        <v>238.18</v>
      </c>
      <c r="I25">
        <f t="shared" si="10"/>
        <v>172.18</v>
      </c>
    </row>
    <row r="26" spans="1:9" outlineLevel="1" x14ac:dyDescent="0.2">
      <c r="A26" s="27"/>
      <c r="B26" s="18" t="s">
        <v>55</v>
      </c>
      <c r="C26" s="20">
        <v>2</v>
      </c>
      <c r="D26" s="22">
        <f t="shared" si="6"/>
        <v>85.31</v>
      </c>
      <c r="E26" s="22">
        <f t="shared" si="7"/>
        <v>33</v>
      </c>
      <c r="F26" s="22">
        <f t="shared" si="4"/>
        <v>66</v>
      </c>
      <c r="G26" s="45">
        <f t="shared" si="8"/>
        <v>118.31</v>
      </c>
      <c r="H26" s="24">
        <f t="shared" si="9"/>
        <v>236.62</v>
      </c>
      <c r="I26">
        <f t="shared" si="10"/>
        <v>170.62</v>
      </c>
    </row>
    <row r="27" spans="1:9" outlineLevel="1" x14ac:dyDescent="0.2">
      <c r="A27" s="27"/>
      <c r="B27" s="18" t="s">
        <v>58</v>
      </c>
      <c r="C27" s="20">
        <v>2</v>
      </c>
      <c r="D27" s="22">
        <f t="shared" si="6"/>
        <v>73.760000000000005</v>
      </c>
      <c r="E27" s="22">
        <f t="shared" si="7"/>
        <v>33</v>
      </c>
      <c r="F27" s="22">
        <f t="shared" si="4"/>
        <v>66</v>
      </c>
      <c r="G27" s="45">
        <f t="shared" si="8"/>
        <v>106.76</v>
      </c>
      <c r="H27" s="24">
        <f t="shared" si="9"/>
        <v>213.52</v>
      </c>
      <c r="I27">
        <f t="shared" si="10"/>
        <v>147.52000000000001</v>
      </c>
    </row>
    <row r="28" spans="1:9" outlineLevel="1" x14ac:dyDescent="0.2">
      <c r="A28" s="27"/>
      <c r="B28" s="18" t="s">
        <v>59</v>
      </c>
      <c r="C28" s="20">
        <v>1</v>
      </c>
      <c r="D28" s="22">
        <f t="shared" si="6"/>
        <v>133.4</v>
      </c>
      <c r="E28" s="22">
        <f t="shared" si="7"/>
        <v>33</v>
      </c>
      <c r="F28" s="22">
        <f t="shared" si="4"/>
        <v>33</v>
      </c>
      <c r="G28" s="45">
        <f t="shared" si="8"/>
        <v>166.4</v>
      </c>
      <c r="H28" s="24">
        <f t="shared" si="9"/>
        <v>166.4</v>
      </c>
      <c r="I28">
        <f t="shared" si="10"/>
        <v>133.4</v>
      </c>
    </row>
    <row r="29" spans="1:9" x14ac:dyDescent="0.2">
      <c r="A29" s="28" t="s">
        <v>33</v>
      </c>
      <c r="B29" s="29"/>
      <c r="C29" s="30">
        <f>SUM(C19:C28)</f>
        <v>45</v>
      </c>
      <c r="D29" s="29"/>
      <c r="E29" s="29"/>
      <c r="F29" s="193">
        <f>SUM(F19:F28)</f>
        <v>616</v>
      </c>
      <c r="G29" s="194"/>
      <c r="H29" s="32">
        <f>SUM(H19:H28)</f>
        <v>2911.14</v>
      </c>
      <c r="I29" s="69">
        <f>SUM(I19:I28)</f>
        <v>2295.14</v>
      </c>
    </row>
    <row r="30" spans="1:9" outlineLevel="1" x14ac:dyDescent="0.2">
      <c r="A30" s="17" t="s">
        <v>34</v>
      </c>
      <c r="B30" s="18" t="s">
        <v>49</v>
      </c>
      <c r="C30" s="20">
        <v>23</v>
      </c>
      <c r="D30" s="22">
        <f t="shared" ref="D30:D39" si="11">VLOOKUP(B30,$A$144:$D$156,2,FALSE)</f>
        <v>31</v>
      </c>
      <c r="E30" s="22">
        <f t="shared" ref="E30:E39" si="12">VLOOKUP(B30,$A$144:$D$156,3,FALSE)</f>
        <v>8</v>
      </c>
      <c r="F30" s="38">
        <f t="shared" si="4"/>
        <v>184</v>
      </c>
      <c r="G30" s="45">
        <f t="shared" ref="G30:G39" si="13">D30+E30</f>
        <v>39</v>
      </c>
      <c r="H30" s="24">
        <f t="shared" ref="H30:H39" si="14">C30*G30</f>
        <v>897</v>
      </c>
      <c r="I30">
        <f t="shared" ref="I30:I39" si="15">C30*D30</f>
        <v>713</v>
      </c>
    </row>
    <row r="31" spans="1:9" outlineLevel="1" x14ac:dyDescent="0.2">
      <c r="A31" s="27"/>
      <c r="B31" s="18" t="s">
        <v>50</v>
      </c>
      <c r="C31" s="20">
        <v>0</v>
      </c>
      <c r="D31" s="22">
        <f t="shared" si="11"/>
        <v>64.81</v>
      </c>
      <c r="E31" s="22">
        <f t="shared" si="12"/>
        <v>12</v>
      </c>
      <c r="F31" s="22">
        <f t="shared" si="4"/>
        <v>0</v>
      </c>
      <c r="G31" s="45">
        <f t="shared" si="13"/>
        <v>76.81</v>
      </c>
      <c r="H31" s="24">
        <f t="shared" si="14"/>
        <v>0</v>
      </c>
      <c r="I31">
        <f t="shared" si="15"/>
        <v>0</v>
      </c>
    </row>
    <row r="32" spans="1:9" outlineLevel="1" x14ac:dyDescent="0.2">
      <c r="A32" s="27"/>
      <c r="B32" s="18" t="s">
        <v>51</v>
      </c>
      <c r="C32" s="20">
        <v>12</v>
      </c>
      <c r="D32" s="22">
        <f t="shared" si="11"/>
        <v>61.75</v>
      </c>
      <c r="E32" s="22">
        <f t="shared" si="12"/>
        <v>12</v>
      </c>
      <c r="F32" s="22">
        <f t="shared" si="4"/>
        <v>144</v>
      </c>
      <c r="G32" s="45">
        <f t="shared" si="13"/>
        <v>73.75</v>
      </c>
      <c r="H32" s="24">
        <f t="shared" si="14"/>
        <v>885</v>
      </c>
      <c r="I32">
        <f t="shared" si="15"/>
        <v>741</v>
      </c>
    </row>
    <row r="33" spans="1:9" outlineLevel="1" x14ac:dyDescent="0.2">
      <c r="A33" s="27"/>
      <c r="B33" s="18" t="s">
        <v>52</v>
      </c>
      <c r="C33" s="20">
        <v>1</v>
      </c>
      <c r="D33" s="22">
        <f t="shared" si="11"/>
        <v>64.069999999999993</v>
      </c>
      <c r="E33" s="22">
        <f t="shared" si="12"/>
        <v>12</v>
      </c>
      <c r="F33" s="22">
        <f t="shared" si="4"/>
        <v>12</v>
      </c>
      <c r="G33" s="45">
        <f t="shared" si="13"/>
        <v>76.069999999999993</v>
      </c>
      <c r="H33" s="24">
        <f t="shared" si="14"/>
        <v>76.069999999999993</v>
      </c>
      <c r="I33">
        <f t="shared" si="15"/>
        <v>64.069999999999993</v>
      </c>
    </row>
    <row r="34" spans="1:9" outlineLevel="1" x14ac:dyDescent="0.2">
      <c r="A34" s="27"/>
      <c r="B34" s="18" t="s">
        <v>60</v>
      </c>
      <c r="C34" s="20">
        <v>1</v>
      </c>
      <c r="D34" s="22">
        <f t="shared" si="11"/>
        <v>63.74</v>
      </c>
      <c r="E34" s="22">
        <f t="shared" si="12"/>
        <v>12</v>
      </c>
      <c r="F34" s="22">
        <f t="shared" si="4"/>
        <v>12</v>
      </c>
      <c r="G34" s="45">
        <f t="shared" si="13"/>
        <v>75.740000000000009</v>
      </c>
      <c r="H34" s="24">
        <f t="shared" si="14"/>
        <v>75.740000000000009</v>
      </c>
      <c r="I34">
        <f t="shared" si="15"/>
        <v>63.74</v>
      </c>
    </row>
    <row r="35" spans="1:9" outlineLevel="1" x14ac:dyDescent="0.2">
      <c r="A35" s="27"/>
      <c r="B35" s="18" t="s">
        <v>53</v>
      </c>
      <c r="C35" s="20">
        <v>1</v>
      </c>
      <c r="D35" s="22">
        <f t="shared" si="11"/>
        <v>89.61</v>
      </c>
      <c r="E35" s="22">
        <f t="shared" si="12"/>
        <v>33</v>
      </c>
      <c r="F35" s="22">
        <f t="shared" si="4"/>
        <v>33</v>
      </c>
      <c r="G35" s="45">
        <f t="shared" si="13"/>
        <v>122.61</v>
      </c>
      <c r="H35" s="24">
        <f t="shared" si="14"/>
        <v>122.61</v>
      </c>
      <c r="I35">
        <f t="shared" si="15"/>
        <v>89.61</v>
      </c>
    </row>
    <row r="36" spans="1:9" outlineLevel="1" x14ac:dyDescent="0.2">
      <c r="A36" s="27"/>
      <c r="B36" s="18" t="s">
        <v>54</v>
      </c>
      <c r="C36" s="20">
        <v>2</v>
      </c>
      <c r="D36" s="22">
        <f t="shared" si="11"/>
        <v>86.09</v>
      </c>
      <c r="E36" s="22">
        <f t="shared" si="12"/>
        <v>33</v>
      </c>
      <c r="F36" s="22">
        <f t="shared" si="4"/>
        <v>66</v>
      </c>
      <c r="G36" s="45">
        <f t="shared" si="13"/>
        <v>119.09</v>
      </c>
      <c r="H36" s="24">
        <f t="shared" si="14"/>
        <v>238.18</v>
      </c>
      <c r="I36">
        <f t="shared" si="15"/>
        <v>172.18</v>
      </c>
    </row>
    <row r="37" spans="1:9" outlineLevel="1" x14ac:dyDescent="0.2">
      <c r="A37" s="27"/>
      <c r="B37" s="18" t="s">
        <v>55</v>
      </c>
      <c r="C37" s="20">
        <v>2</v>
      </c>
      <c r="D37" s="22">
        <f t="shared" si="11"/>
        <v>85.31</v>
      </c>
      <c r="E37" s="22">
        <f t="shared" si="12"/>
        <v>33</v>
      </c>
      <c r="F37" s="22">
        <f t="shared" si="4"/>
        <v>66</v>
      </c>
      <c r="G37" s="45">
        <f t="shared" si="13"/>
        <v>118.31</v>
      </c>
      <c r="H37" s="24">
        <f t="shared" si="14"/>
        <v>236.62</v>
      </c>
      <c r="I37">
        <f t="shared" si="15"/>
        <v>170.62</v>
      </c>
    </row>
    <row r="38" spans="1:9" outlineLevel="1" x14ac:dyDescent="0.2">
      <c r="A38" s="27"/>
      <c r="B38" s="18" t="s">
        <v>58</v>
      </c>
      <c r="C38" s="20">
        <v>2</v>
      </c>
      <c r="D38" s="22">
        <f t="shared" si="11"/>
        <v>73.760000000000005</v>
      </c>
      <c r="E38" s="22">
        <f t="shared" si="12"/>
        <v>33</v>
      </c>
      <c r="F38" s="22">
        <f t="shared" si="4"/>
        <v>66</v>
      </c>
      <c r="G38" s="45">
        <f t="shared" si="13"/>
        <v>106.76</v>
      </c>
      <c r="H38" s="24">
        <f t="shared" si="14"/>
        <v>213.52</v>
      </c>
      <c r="I38">
        <f t="shared" si="15"/>
        <v>147.52000000000001</v>
      </c>
    </row>
    <row r="39" spans="1:9" outlineLevel="1" x14ac:dyDescent="0.2">
      <c r="A39" s="27"/>
      <c r="B39" s="18" t="s">
        <v>59</v>
      </c>
      <c r="C39" s="20">
        <v>1</v>
      </c>
      <c r="D39" s="22">
        <f t="shared" si="11"/>
        <v>133.4</v>
      </c>
      <c r="E39" s="22">
        <f t="shared" si="12"/>
        <v>33</v>
      </c>
      <c r="F39" s="22">
        <f t="shared" si="4"/>
        <v>33</v>
      </c>
      <c r="G39" s="45">
        <f t="shared" si="13"/>
        <v>166.4</v>
      </c>
      <c r="H39" s="24">
        <f t="shared" si="14"/>
        <v>166.4</v>
      </c>
      <c r="I39">
        <f t="shared" si="15"/>
        <v>133.4</v>
      </c>
    </row>
    <row r="40" spans="1:9" x14ac:dyDescent="0.2">
      <c r="A40" s="28" t="s">
        <v>35</v>
      </c>
      <c r="B40" s="29"/>
      <c r="C40" s="30">
        <f>SUM(C30:C39)</f>
        <v>45</v>
      </c>
      <c r="D40" s="29"/>
      <c r="E40" s="29"/>
      <c r="F40" s="193">
        <f>SUM(F30:F39)</f>
        <v>616</v>
      </c>
      <c r="G40" s="194"/>
      <c r="H40" s="32">
        <f>SUM(H30:H39)</f>
        <v>2911.14</v>
      </c>
      <c r="I40" s="69">
        <f>SUM(I30:I39)</f>
        <v>2295.14</v>
      </c>
    </row>
    <row r="41" spans="1:9" outlineLevel="1" x14ac:dyDescent="0.2">
      <c r="A41" s="17" t="s">
        <v>36</v>
      </c>
      <c r="B41" s="18" t="s">
        <v>49</v>
      </c>
      <c r="C41" s="20">
        <v>23</v>
      </c>
      <c r="D41" s="22">
        <f t="shared" ref="D41:D50" si="16">VLOOKUP(B41,$A$144:$D$156,2,FALSE)</f>
        <v>31</v>
      </c>
      <c r="E41" s="22">
        <f t="shared" ref="E41:E50" si="17">VLOOKUP(B41,$A$144:$D$156,3,FALSE)</f>
        <v>8</v>
      </c>
      <c r="F41" s="38">
        <f t="shared" si="4"/>
        <v>184</v>
      </c>
      <c r="G41" s="45">
        <f t="shared" ref="G41:G50" si="18">D41+E41</f>
        <v>39</v>
      </c>
      <c r="H41" s="24">
        <f t="shared" ref="H41:H50" si="19">C41*G41</f>
        <v>897</v>
      </c>
      <c r="I41">
        <f t="shared" ref="I41:I50" si="20">C41*D41</f>
        <v>713</v>
      </c>
    </row>
    <row r="42" spans="1:9" outlineLevel="1" x14ac:dyDescent="0.2">
      <c r="A42" s="27"/>
      <c r="B42" s="18" t="s">
        <v>50</v>
      </c>
      <c r="C42" s="20">
        <v>0</v>
      </c>
      <c r="D42" s="22">
        <f t="shared" si="16"/>
        <v>64.81</v>
      </c>
      <c r="E42" s="22">
        <f t="shared" si="17"/>
        <v>12</v>
      </c>
      <c r="F42" s="22">
        <f t="shared" si="4"/>
        <v>0</v>
      </c>
      <c r="G42" s="45">
        <f t="shared" si="18"/>
        <v>76.81</v>
      </c>
      <c r="H42" s="24">
        <f t="shared" si="19"/>
        <v>0</v>
      </c>
      <c r="I42">
        <f t="shared" si="20"/>
        <v>0</v>
      </c>
    </row>
    <row r="43" spans="1:9" outlineLevel="1" x14ac:dyDescent="0.2">
      <c r="A43" s="27"/>
      <c r="B43" s="18" t="s">
        <v>51</v>
      </c>
      <c r="C43" s="20">
        <v>12</v>
      </c>
      <c r="D43" s="22">
        <f t="shared" si="16"/>
        <v>61.75</v>
      </c>
      <c r="E43" s="22">
        <f t="shared" si="17"/>
        <v>12</v>
      </c>
      <c r="F43" s="22">
        <f t="shared" si="4"/>
        <v>144</v>
      </c>
      <c r="G43" s="45">
        <f t="shared" si="18"/>
        <v>73.75</v>
      </c>
      <c r="H43" s="24">
        <f t="shared" si="19"/>
        <v>885</v>
      </c>
      <c r="I43">
        <f t="shared" si="20"/>
        <v>741</v>
      </c>
    </row>
    <row r="44" spans="1:9" outlineLevel="1" x14ac:dyDescent="0.2">
      <c r="A44" s="27"/>
      <c r="B44" s="18" t="s">
        <v>52</v>
      </c>
      <c r="C44" s="20">
        <v>1</v>
      </c>
      <c r="D44" s="22">
        <f t="shared" si="16"/>
        <v>64.069999999999993</v>
      </c>
      <c r="E44" s="22">
        <f t="shared" si="17"/>
        <v>12</v>
      </c>
      <c r="F44" s="22">
        <f t="shared" si="4"/>
        <v>12</v>
      </c>
      <c r="G44" s="45">
        <f t="shared" si="18"/>
        <v>76.069999999999993</v>
      </c>
      <c r="H44" s="24">
        <f t="shared" si="19"/>
        <v>76.069999999999993</v>
      </c>
      <c r="I44">
        <f t="shared" si="20"/>
        <v>64.069999999999993</v>
      </c>
    </row>
    <row r="45" spans="1:9" outlineLevel="1" x14ac:dyDescent="0.2">
      <c r="A45" s="27"/>
      <c r="B45" s="18" t="s">
        <v>60</v>
      </c>
      <c r="C45" s="20">
        <v>1</v>
      </c>
      <c r="D45" s="22">
        <f t="shared" si="16"/>
        <v>63.74</v>
      </c>
      <c r="E45" s="22">
        <f t="shared" si="17"/>
        <v>12</v>
      </c>
      <c r="F45" s="22">
        <f t="shared" si="4"/>
        <v>12</v>
      </c>
      <c r="G45" s="45">
        <f t="shared" si="18"/>
        <v>75.740000000000009</v>
      </c>
      <c r="H45" s="24">
        <f t="shared" si="19"/>
        <v>75.740000000000009</v>
      </c>
      <c r="I45">
        <f t="shared" si="20"/>
        <v>63.74</v>
      </c>
    </row>
    <row r="46" spans="1:9" outlineLevel="1" x14ac:dyDescent="0.2">
      <c r="A46" s="27"/>
      <c r="B46" s="18" t="s">
        <v>53</v>
      </c>
      <c r="C46" s="20">
        <v>1</v>
      </c>
      <c r="D46" s="22">
        <f t="shared" si="16"/>
        <v>89.61</v>
      </c>
      <c r="E46" s="22">
        <f t="shared" si="17"/>
        <v>33</v>
      </c>
      <c r="F46" s="22">
        <f t="shared" si="4"/>
        <v>33</v>
      </c>
      <c r="G46" s="45">
        <f t="shared" si="18"/>
        <v>122.61</v>
      </c>
      <c r="H46" s="24">
        <f t="shared" si="19"/>
        <v>122.61</v>
      </c>
      <c r="I46">
        <f t="shared" si="20"/>
        <v>89.61</v>
      </c>
    </row>
    <row r="47" spans="1:9" outlineLevel="1" x14ac:dyDescent="0.2">
      <c r="A47" s="27"/>
      <c r="B47" s="18" t="s">
        <v>54</v>
      </c>
      <c r="C47" s="20">
        <v>2</v>
      </c>
      <c r="D47" s="22">
        <f t="shared" si="16"/>
        <v>86.09</v>
      </c>
      <c r="E47" s="22">
        <f t="shared" si="17"/>
        <v>33</v>
      </c>
      <c r="F47" s="22">
        <f t="shared" si="4"/>
        <v>66</v>
      </c>
      <c r="G47" s="45">
        <f t="shared" si="18"/>
        <v>119.09</v>
      </c>
      <c r="H47" s="24">
        <f t="shared" si="19"/>
        <v>238.18</v>
      </c>
      <c r="I47">
        <f t="shared" si="20"/>
        <v>172.18</v>
      </c>
    </row>
    <row r="48" spans="1:9" outlineLevel="1" x14ac:dyDescent="0.2">
      <c r="A48" s="27"/>
      <c r="B48" s="18" t="s">
        <v>55</v>
      </c>
      <c r="C48" s="20">
        <v>2</v>
      </c>
      <c r="D48" s="22">
        <f t="shared" si="16"/>
        <v>85.31</v>
      </c>
      <c r="E48" s="22">
        <f t="shared" si="17"/>
        <v>33</v>
      </c>
      <c r="F48" s="22">
        <f t="shared" si="4"/>
        <v>66</v>
      </c>
      <c r="G48" s="45">
        <f t="shared" si="18"/>
        <v>118.31</v>
      </c>
      <c r="H48" s="24">
        <f t="shared" si="19"/>
        <v>236.62</v>
      </c>
      <c r="I48">
        <f t="shared" si="20"/>
        <v>170.62</v>
      </c>
    </row>
    <row r="49" spans="1:9" outlineLevel="1" x14ac:dyDescent="0.2">
      <c r="A49" s="27"/>
      <c r="B49" s="18" t="s">
        <v>58</v>
      </c>
      <c r="C49" s="20">
        <v>2</v>
      </c>
      <c r="D49" s="22">
        <f t="shared" si="16"/>
        <v>73.760000000000005</v>
      </c>
      <c r="E49" s="22">
        <f t="shared" si="17"/>
        <v>33</v>
      </c>
      <c r="F49" s="22">
        <f t="shared" si="4"/>
        <v>66</v>
      </c>
      <c r="G49" s="45">
        <f t="shared" si="18"/>
        <v>106.76</v>
      </c>
      <c r="H49" s="24">
        <f t="shared" si="19"/>
        <v>213.52</v>
      </c>
      <c r="I49">
        <f t="shared" si="20"/>
        <v>147.52000000000001</v>
      </c>
    </row>
    <row r="50" spans="1:9" outlineLevel="1" x14ac:dyDescent="0.2">
      <c r="A50" s="27"/>
      <c r="B50" s="18" t="s">
        <v>59</v>
      </c>
      <c r="C50" s="20">
        <v>1</v>
      </c>
      <c r="D50" s="22">
        <f t="shared" si="16"/>
        <v>133.4</v>
      </c>
      <c r="E50" s="22">
        <f t="shared" si="17"/>
        <v>33</v>
      </c>
      <c r="F50" s="22">
        <f t="shared" si="4"/>
        <v>33</v>
      </c>
      <c r="G50" s="45">
        <f t="shared" si="18"/>
        <v>166.4</v>
      </c>
      <c r="H50" s="24">
        <f t="shared" si="19"/>
        <v>166.4</v>
      </c>
      <c r="I50">
        <f t="shared" si="20"/>
        <v>133.4</v>
      </c>
    </row>
    <row r="51" spans="1:9" x14ac:dyDescent="0.2">
      <c r="A51" s="28" t="s">
        <v>37</v>
      </c>
      <c r="B51" s="29"/>
      <c r="C51" s="30">
        <f>SUM(C41:C50)</f>
        <v>45</v>
      </c>
      <c r="D51" s="29"/>
      <c r="E51" s="29"/>
      <c r="F51" s="193">
        <f>SUM(F41:F50)</f>
        <v>616</v>
      </c>
      <c r="G51" s="194"/>
      <c r="H51" s="32">
        <f>SUM(H41:H50)</f>
        <v>2911.14</v>
      </c>
      <c r="I51" s="69">
        <f>SUM(I41:I50)</f>
        <v>2295.14</v>
      </c>
    </row>
    <row r="52" spans="1:9" outlineLevel="1" x14ac:dyDescent="0.2">
      <c r="A52" s="17" t="s">
        <v>38</v>
      </c>
      <c r="B52" s="18" t="s">
        <v>49</v>
      </c>
      <c r="C52" s="20">
        <v>23</v>
      </c>
      <c r="D52" s="22">
        <f t="shared" ref="D52:D61" si="21">VLOOKUP(B52,$A$144:$D$156,2,FALSE)</f>
        <v>31</v>
      </c>
      <c r="E52" s="22">
        <f t="shared" ref="E52:E61" si="22">VLOOKUP(B52,$A$144:$D$156,3,FALSE)</f>
        <v>8</v>
      </c>
      <c r="F52" s="38">
        <f t="shared" si="4"/>
        <v>184</v>
      </c>
      <c r="G52" s="45">
        <f t="shared" ref="G52:G61" si="23">D52+E52</f>
        <v>39</v>
      </c>
      <c r="H52" s="24">
        <f t="shared" ref="H52:H61" si="24">C52*G52</f>
        <v>897</v>
      </c>
      <c r="I52">
        <f t="shared" ref="I52:I61" si="25">C52*D52</f>
        <v>713</v>
      </c>
    </row>
    <row r="53" spans="1:9" outlineLevel="1" x14ac:dyDescent="0.2">
      <c r="A53" s="27"/>
      <c r="B53" s="18" t="s">
        <v>50</v>
      </c>
      <c r="C53" s="20">
        <v>0</v>
      </c>
      <c r="D53" s="22">
        <f t="shared" si="21"/>
        <v>64.81</v>
      </c>
      <c r="E53" s="22">
        <f t="shared" si="22"/>
        <v>12</v>
      </c>
      <c r="F53" s="22">
        <f t="shared" si="4"/>
        <v>0</v>
      </c>
      <c r="G53" s="45">
        <f t="shared" si="23"/>
        <v>76.81</v>
      </c>
      <c r="H53" s="24">
        <f t="shared" si="24"/>
        <v>0</v>
      </c>
      <c r="I53">
        <f t="shared" si="25"/>
        <v>0</v>
      </c>
    </row>
    <row r="54" spans="1:9" outlineLevel="1" x14ac:dyDescent="0.2">
      <c r="A54" s="27"/>
      <c r="B54" s="18" t="s">
        <v>51</v>
      </c>
      <c r="C54" s="20">
        <v>12</v>
      </c>
      <c r="D54" s="22">
        <f t="shared" si="21"/>
        <v>61.75</v>
      </c>
      <c r="E54" s="22">
        <f t="shared" si="22"/>
        <v>12</v>
      </c>
      <c r="F54" s="22">
        <f t="shared" si="4"/>
        <v>144</v>
      </c>
      <c r="G54" s="45">
        <f t="shared" si="23"/>
        <v>73.75</v>
      </c>
      <c r="H54" s="24">
        <f t="shared" si="24"/>
        <v>885</v>
      </c>
      <c r="I54">
        <f t="shared" si="25"/>
        <v>741</v>
      </c>
    </row>
    <row r="55" spans="1:9" outlineLevel="1" x14ac:dyDescent="0.2">
      <c r="A55" s="27"/>
      <c r="B55" s="18" t="s">
        <v>52</v>
      </c>
      <c r="C55" s="20">
        <v>1</v>
      </c>
      <c r="D55" s="22">
        <f t="shared" si="21"/>
        <v>64.069999999999993</v>
      </c>
      <c r="E55" s="22">
        <f t="shared" si="22"/>
        <v>12</v>
      </c>
      <c r="F55" s="22">
        <f t="shared" si="4"/>
        <v>12</v>
      </c>
      <c r="G55" s="45">
        <f t="shared" si="23"/>
        <v>76.069999999999993</v>
      </c>
      <c r="H55" s="24">
        <f t="shared" si="24"/>
        <v>76.069999999999993</v>
      </c>
      <c r="I55">
        <f t="shared" si="25"/>
        <v>64.069999999999993</v>
      </c>
    </row>
    <row r="56" spans="1:9" outlineLevel="1" x14ac:dyDescent="0.2">
      <c r="A56" s="27"/>
      <c r="B56" s="18" t="s">
        <v>60</v>
      </c>
      <c r="C56" s="20">
        <v>1</v>
      </c>
      <c r="D56" s="22">
        <f t="shared" si="21"/>
        <v>63.74</v>
      </c>
      <c r="E56" s="22">
        <f t="shared" si="22"/>
        <v>12</v>
      </c>
      <c r="F56" s="22">
        <f t="shared" si="4"/>
        <v>12</v>
      </c>
      <c r="G56" s="45">
        <f t="shared" si="23"/>
        <v>75.740000000000009</v>
      </c>
      <c r="H56" s="24">
        <f t="shared" si="24"/>
        <v>75.740000000000009</v>
      </c>
      <c r="I56">
        <f t="shared" si="25"/>
        <v>63.74</v>
      </c>
    </row>
    <row r="57" spans="1:9" outlineLevel="1" x14ac:dyDescent="0.2">
      <c r="A57" s="27"/>
      <c r="B57" s="18" t="s">
        <v>53</v>
      </c>
      <c r="C57" s="20">
        <v>1</v>
      </c>
      <c r="D57" s="22">
        <f t="shared" si="21"/>
        <v>89.61</v>
      </c>
      <c r="E57" s="22">
        <f t="shared" si="22"/>
        <v>33</v>
      </c>
      <c r="F57" s="22">
        <f t="shared" si="4"/>
        <v>33</v>
      </c>
      <c r="G57" s="45">
        <f t="shared" si="23"/>
        <v>122.61</v>
      </c>
      <c r="H57" s="24">
        <f t="shared" si="24"/>
        <v>122.61</v>
      </c>
      <c r="I57">
        <f t="shared" si="25"/>
        <v>89.61</v>
      </c>
    </row>
    <row r="58" spans="1:9" outlineLevel="1" x14ac:dyDescent="0.2">
      <c r="A58" s="27"/>
      <c r="B58" s="18" t="s">
        <v>54</v>
      </c>
      <c r="C58" s="20">
        <v>2</v>
      </c>
      <c r="D58" s="22">
        <f t="shared" si="21"/>
        <v>86.09</v>
      </c>
      <c r="E58" s="22">
        <f t="shared" si="22"/>
        <v>33</v>
      </c>
      <c r="F58" s="22">
        <f t="shared" si="4"/>
        <v>66</v>
      </c>
      <c r="G58" s="45">
        <f t="shared" si="23"/>
        <v>119.09</v>
      </c>
      <c r="H58" s="24">
        <f t="shared" si="24"/>
        <v>238.18</v>
      </c>
      <c r="I58">
        <f t="shared" si="25"/>
        <v>172.18</v>
      </c>
    </row>
    <row r="59" spans="1:9" outlineLevel="1" x14ac:dyDescent="0.2">
      <c r="A59" s="27"/>
      <c r="B59" s="18" t="s">
        <v>55</v>
      </c>
      <c r="C59" s="20">
        <v>2</v>
      </c>
      <c r="D59" s="22">
        <f t="shared" si="21"/>
        <v>85.31</v>
      </c>
      <c r="E59" s="22">
        <f t="shared" si="22"/>
        <v>33</v>
      </c>
      <c r="F59" s="22">
        <f t="shared" si="4"/>
        <v>66</v>
      </c>
      <c r="G59" s="45">
        <f t="shared" si="23"/>
        <v>118.31</v>
      </c>
      <c r="H59" s="24">
        <f t="shared" si="24"/>
        <v>236.62</v>
      </c>
      <c r="I59">
        <f t="shared" si="25"/>
        <v>170.62</v>
      </c>
    </row>
    <row r="60" spans="1:9" outlineLevel="1" x14ac:dyDescent="0.2">
      <c r="A60" s="27"/>
      <c r="B60" s="18" t="s">
        <v>58</v>
      </c>
      <c r="C60" s="20">
        <v>2</v>
      </c>
      <c r="D60" s="22">
        <f t="shared" si="21"/>
        <v>73.760000000000005</v>
      </c>
      <c r="E60" s="22">
        <f t="shared" si="22"/>
        <v>33</v>
      </c>
      <c r="F60" s="22">
        <f t="shared" si="4"/>
        <v>66</v>
      </c>
      <c r="G60" s="45">
        <f t="shared" si="23"/>
        <v>106.76</v>
      </c>
      <c r="H60" s="24">
        <f t="shared" si="24"/>
        <v>213.52</v>
      </c>
      <c r="I60">
        <f t="shared" si="25"/>
        <v>147.52000000000001</v>
      </c>
    </row>
    <row r="61" spans="1:9" outlineLevel="1" x14ac:dyDescent="0.2">
      <c r="A61" s="27"/>
      <c r="B61" s="18" t="s">
        <v>59</v>
      </c>
      <c r="C61" s="20">
        <v>1</v>
      </c>
      <c r="D61" s="22">
        <f t="shared" si="21"/>
        <v>133.4</v>
      </c>
      <c r="E61" s="22">
        <f t="shared" si="22"/>
        <v>33</v>
      </c>
      <c r="F61" s="22">
        <f t="shared" si="4"/>
        <v>33</v>
      </c>
      <c r="G61" s="45">
        <f t="shared" si="23"/>
        <v>166.4</v>
      </c>
      <c r="H61" s="24">
        <f t="shared" si="24"/>
        <v>166.4</v>
      </c>
      <c r="I61">
        <f t="shared" si="25"/>
        <v>133.4</v>
      </c>
    </row>
    <row r="62" spans="1:9" x14ac:dyDescent="0.2">
      <c r="A62" s="28" t="s">
        <v>39</v>
      </c>
      <c r="B62" s="29"/>
      <c r="C62" s="30">
        <f>SUM(C52:C61)</f>
        <v>45</v>
      </c>
      <c r="D62" s="29"/>
      <c r="E62" s="29"/>
      <c r="F62" s="193">
        <f>SUM(F52:F61)</f>
        <v>616</v>
      </c>
      <c r="G62" s="194"/>
      <c r="H62" s="32">
        <f>SUM(H52:H61)</f>
        <v>2911.14</v>
      </c>
      <c r="I62" s="69">
        <f>SUM(I52:I61)</f>
        <v>2295.14</v>
      </c>
    </row>
    <row r="63" spans="1:9" outlineLevel="1" x14ac:dyDescent="0.2">
      <c r="A63" s="17" t="s">
        <v>40</v>
      </c>
      <c r="B63" s="18" t="s">
        <v>49</v>
      </c>
      <c r="C63" s="20">
        <v>23</v>
      </c>
      <c r="D63" s="22">
        <f t="shared" ref="D63:D72" si="26">VLOOKUP(B63,$A$144:$D$156,2,FALSE)</f>
        <v>31</v>
      </c>
      <c r="E63" s="22">
        <f t="shared" ref="E63:E72" si="27">VLOOKUP(B63,$A$144:$D$156,3,FALSE)</f>
        <v>8</v>
      </c>
      <c r="F63" s="38">
        <f t="shared" si="4"/>
        <v>184</v>
      </c>
      <c r="G63" s="45">
        <f t="shared" ref="G63:G72" si="28">D63+E63</f>
        <v>39</v>
      </c>
      <c r="H63" s="24">
        <f t="shared" ref="H63:H72" si="29">C63*G63</f>
        <v>897</v>
      </c>
      <c r="I63">
        <f t="shared" ref="I63:I72" si="30">C63*D63</f>
        <v>713</v>
      </c>
    </row>
    <row r="64" spans="1:9" outlineLevel="1" x14ac:dyDescent="0.2">
      <c r="A64" s="27"/>
      <c r="B64" s="18" t="s">
        <v>50</v>
      </c>
      <c r="C64" s="20">
        <v>0</v>
      </c>
      <c r="D64" s="22">
        <f t="shared" si="26"/>
        <v>64.81</v>
      </c>
      <c r="E64" s="22">
        <f t="shared" si="27"/>
        <v>12</v>
      </c>
      <c r="F64" s="22">
        <f t="shared" si="4"/>
        <v>0</v>
      </c>
      <c r="G64" s="45">
        <f t="shared" si="28"/>
        <v>76.81</v>
      </c>
      <c r="H64" s="24">
        <f t="shared" si="29"/>
        <v>0</v>
      </c>
      <c r="I64">
        <f t="shared" si="30"/>
        <v>0</v>
      </c>
    </row>
    <row r="65" spans="1:9" outlineLevel="1" x14ac:dyDescent="0.2">
      <c r="A65" s="27"/>
      <c r="B65" s="18" t="s">
        <v>51</v>
      </c>
      <c r="C65" s="20">
        <v>12</v>
      </c>
      <c r="D65" s="22">
        <f t="shared" si="26"/>
        <v>61.75</v>
      </c>
      <c r="E65" s="22">
        <f t="shared" si="27"/>
        <v>12</v>
      </c>
      <c r="F65" s="22">
        <f t="shared" si="4"/>
        <v>144</v>
      </c>
      <c r="G65" s="45">
        <f t="shared" si="28"/>
        <v>73.75</v>
      </c>
      <c r="H65" s="24">
        <f t="shared" si="29"/>
        <v>885</v>
      </c>
      <c r="I65">
        <f t="shared" si="30"/>
        <v>741</v>
      </c>
    </row>
    <row r="66" spans="1:9" outlineLevel="1" x14ac:dyDescent="0.2">
      <c r="A66" s="27"/>
      <c r="B66" s="18" t="s">
        <v>52</v>
      </c>
      <c r="C66" s="20">
        <v>1</v>
      </c>
      <c r="D66" s="22">
        <f t="shared" si="26"/>
        <v>64.069999999999993</v>
      </c>
      <c r="E66" s="22">
        <f t="shared" si="27"/>
        <v>12</v>
      </c>
      <c r="F66" s="22">
        <f t="shared" si="4"/>
        <v>12</v>
      </c>
      <c r="G66" s="45">
        <f t="shared" si="28"/>
        <v>76.069999999999993</v>
      </c>
      <c r="H66" s="24">
        <f t="shared" si="29"/>
        <v>76.069999999999993</v>
      </c>
      <c r="I66">
        <f t="shared" si="30"/>
        <v>64.069999999999993</v>
      </c>
    </row>
    <row r="67" spans="1:9" outlineLevel="1" x14ac:dyDescent="0.2">
      <c r="A67" s="27"/>
      <c r="B67" s="18" t="s">
        <v>60</v>
      </c>
      <c r="C67" s="20">
        <v>1</v>
      </c>
      <c r="D67" s="22">
        <f t="shared" si="26"/>
        <v>63.74</v>
      </c>
      <c r="E67" s="22">
        <f t="shared" si="27"/>
        <v>12</v>
      </c>
      <c r="F67" s="22">
        <f t="shared" si="4"/>
        <v>12</v>
      </c>
      <c r="G67" s="45">
        <f t="shared" si="28"/>
        <v>75.740000000000009</v>
      </c>
      <c r="H67" s="24">
        <f t="shared" si="29"/>
        <v>75.740000000000009</v>
      </c>
      <c r="I67">
        <f t="shared" si="30"/>
        <v>63.74</v>
      </c>
    </row>
    <row r="68" spans="1:9" outlineLevel="1" x14ac:dyDescent="0.2">
      <c r="A68" s="27"/>
      <c r="B68" s="18" t="s">
        <v>53</v>
      </c>
      <c r="C68" s="20">
        <v>1</v>
      </c>
      <c r="D68" s="22">
        <f t="shared" si="26"/>
        <v>89.61</v>
      </c>
      <c r="E68" s="22">
        <f t="shared" si="27"/>
        <v>33</v>
      </c>
      <c r="F68" s="22">
        <f t="shared" si="4"/>
        <v>33</v>
      </c>
      <c r="G68" s="45">
        <f t="shared" si="28"/>
        <v>122.61</v>
      </c>
      <c r="H68" s="24">
        <f t="shared" si="29"/>
        <v>122.61</v>
      </c>
      <c r="I68">
        <f t="shared" si="30"/>
        <v>89.61</v>
      </c>
    </row>
    <row r="69" spans="1:9" outlineLevel="1" x14ac:dyDescent="0.2">
      <c r="A69" s="27"/>
      <c r="B69" s="18" t="s">
        <v>54</v>
      </c>
      <c r="C69" s="20">
        <v>2</v>
      </c>
      <c r="D69" s="22">
        <f t="shared" si="26"/>
        <v>86.09</v>
      </c>
      <c r="E69" s="22">
        <f t="shared" si="27"/>
        <v>33</v>
      </c>
      <c r="F69" s="22">
        <f t="shared" si="4"/>
        <v>66</v>
      </c>
      <c r="G69" s="45">
        <f t="shared" si="28"/>
        <v>119.09</v>
      </c>
      <c r="H69" s="24">
        <f t="shared" si="29"/>
        <v>238.18</v>
      </c>
      <c r="I69">
        <f t="shared" si="30"/>
        <v>172.18</v>
      </c>
    </row>
    <row r="70" spans="1:9" outlineLevel="1" x14ac:dyDescent="0.2">
      <c r="A70" s="27"/>
      <c r="B70" s="18" t="s">
        <v>55</v>
      </c>
      <c r="C70" s="20">
        <v>2</v>
      </c>
      <c r="D70" s="22">
        <f t="shared" si="26"/>
        <v>85.31</v>
      </c>
      <c r="E70" s="22">
        <f t="shared" si="27"/>
        <v>33</v>
      </c>
      <c r="F70" s="22">
        <f t="shared" si="4"/>
        <v>66</v>
      </c>
      <c r="G70" s="45">
        <f t="shared" si="28"/>
        <v>118.31</v>
      </c>
      <c r="H70" s="24">
        <f t="shared" si="29"/>
        <v>236.62</v>
      </c>
      <c r="I70">
        <f t="shared" si="30"/>
        <v>170.62</v>
      </c>
    </row>
    <row r="71" spans="1:9" outlineLevel="1" x14ac:dyDescent="0.2">
      <c r="A71" s="27"/>
      <c r="B71" s="18" t="s">
        <v>58</v>
      </c>
      <c r="C71" s="20">
        <v>2</v>
      </c>
      <c r="D71" s="22">
        <f t="shared" si="26"/>
        <v>73.760000000000005</v>
      </c>
      <c r="E71" s="22">
        <f t="shared" si="27"/>
        <v>33</v>
      </c>
      <c r="F71" s="22">
        <f t="shared" si="4"/>
        <v>66</v>
      </c>
      <c r="G71" s="45">
        <f t="shared" si="28"/>
        <v>106.76</v>
      </c>
      <c r="H71" s="24">
        <f t="shared" si="29"/>
        <v>213.52</v>
      </c>
      <c r="I71">
        <f t="shared" si="30"/>
        <v>147.52000000000001</v>
      </c>
    </row>
    <row r="72" spans="1:9" outlineLevel="1" x14ac:dyDescent="0.2">
      <c r="A72" s="27"/>
      <c r="B72" s="18" t="s">
        <v>59</v>
      </c>
      <c r="C72" s="20">
        <v>1</v>
      </c>
      <c r="D72" s="22">
        <f t="shared" si="26"/>
        <v>133.4</v>
      </c>
      <c r="E72" s="22">
        <f t="shared" si="27"/>
        <v>33</v>
      </c>
      <c r="F72" s="22">
        <f t="shared" si="4"/>
        <v>33</v>
      </c>
      <c r="G72" s="45">
        <f t="shared" si="28"/>
        <v>166.4</v>
      </c>
      <c r="H72" s="24">
        <f t="shared" si="29"/>
        <v>166.4</v>
      </c>
      <c r="I72">
        <f t="shared" si="30"/>
        <v>133.4</v>
      </c>
    </row>
    <row r="73" spans="1:9" x14ac:dyDescent="0.2">
      <c r="A73" s="28" t="s">
        <v>41</v>
      </c>
      <c r="B73" s="29"/>
      <c r="C73" s="30">
        <f>SUM(C63:C72)</f>
        <v>45</v>
      </c>
      <c r="D73" s="29"/>
      <c r="E73" s="29"/>
      <c r="F73" s="193">
        <f>SUM(F63:F72)</f>
        <v>616</v>
      </c>
      <c r="G73" s="194"/>
      <c r="H73" s="32">
        <f>SUM(H63:H72)</f>
        <v>2911.14</v>
      </c>
      <c r="I73" s="69">
        <f>SUM(I63:I72)</f>
        <v>2295.14</v>
      </c>
    </row>
    <row r="74" spans="1:9" outlineLevel="1" x14ac:dyDescent="0.2">
      <c r="A74" s="17" t="s">
        <v>42</v>
      </c>
      <c r="B74" s="18" t="s">
        <v>49</v>
      </c>
      <c r="C74" s="20">
        <v>22</v>
      </c>
      <c r="D74" s="22">
        <f t="shared" ref="D74:D83" si="31">VLOOKUP(B74,$A$144:$D$156,2,FALSE)</f>
        <v>31</v>
      </c>
      <c r="E74" s="22">
        <f t="shared" ref="E74:E83" si="32">VLOOKUP(B74,$A$144:$D$156,3,FALSE)</f>
        <v>8</v>
      </c>
      <c r="F74" s="38">
        <f t="shared" ref="F74:F94" si="33">E74*C74</f>
        <v>176</v>
      </c>
      <c r="G74" s="45">
        <f t="shared" ref="G74:G83" si="34">D74+E74</f>
        <v>39</v>
      </c>
      <c r="H74" s="24">
        <f t="shared" ref="H74:H83" si="35">C74*G74</f>
        <v>858</v>
      </c>
      <c r="I74">
        <f t="shared" ref="I74:I83" si="36">C74*D74</f>
        <v>682</v>
      </c>
    </row>
    <row r="75" spans="1:9" outlineLevel="1" x14ac:dyDescent="0.2">
      <c r="A75" s="27"/>
      <c r="B75" s="18" t="s">
        <v>50</v>
      </c>
      <c r="C75" s="20">
        <v>0</v>
      </c>
      <c r="D75" s="22">
        <f t="shared" si="31"/>
        <v>64.81</v>
      </c>
      <c r="E75" s="22">
        <f t="shared" si="32"/>
        <v>12</v>
      </c>
      <c r="F75" s="22">
        <f t="shared" si="33"/>
        <v>0</v>
      </c>
      <c r="G75" s="45">
        <f t="shared" si="34"/>
        <v>76.81</v>
      </c>
      <c r="H75" s="24">
        <f t="shared" si="35"/>
        <v>0</v>
      </c>
      <c r="I75">
        <f t="shared" si="36"/>
        <v>0</v>
      </c>
    </row>
    <row r="76" spans="1:9" outlineLevel="1" x14ac:dyDescent="0.2">
      <c r="A76" s="27"/>
      <c r="B76" s="18" t="s">
        <v>51</v>
      </c>
      <c r="C76" s="20">
        <v>12</v>
      </c>
      <c r="D76" s="22">
        <f t="shared" si="31"/>
        <v>61.75</v>
      </c>
      <c r="E76" s="22">
        <f t="shared" si="32"/>
        <v>12</v>
      </c>
      <c r="F76" s="22">
        <f t="shared" si="33"/>
        <v>144</v>
      </c>
      <c r="G76" s="45">
        <f t="shared" si="34"/>
        <v>73.75</v>
      </c>
      <c r="H76" s="24">
        <f t="shared" si="35"/>
        <v>885</v>
      </c>
      <c r="I76">
        <f t="shared" si="36"/>
        <v>741</v>
      </c>
    </row>
    <row r="77" spans="1:9" outlineLevel="1" x14ac:dyDescent="0.2">
      <c r="A77" s="27"/>
      <c r="B77" s="18" t="s">
        <v>52</v>
      </c>
      <c r="C77" s="20">
        <v>1</v>
      </c>
      <c r="D77" s="22">
        <f t="shared" si="31"/>
        <v>64.069999999999993</v>
      </c>
      <c r="E77" s="22">
        <f t="shared" si="32"/>
        <v>12</v>
      </c>
      <c r="F77" s="22">
        <f t="shared" si="33"/>
        <v>12</v>
      </c>
      <c r="G77" s="45">
        <f t="shared" si="34"/>
        <v>76.069999999999993</v>
      </c>
      <c r="H77" s="24">
        <f t="shared" si="35"/>
        <v>76.069999999999993</v>
      </c>
      <c r="I77">
        <f t="shared" si="36"/>
        <v>64.069999999999993</v>
      </c>
    </row>
    <row r="78" spans="1:9" outlineLevel="1" x14ac:dyDescent="0.2">
      <c r="A78" s="27"/>
      <c r="B78" s="18" t="s">
        <v>60</v>
      </c>
      <c r="C78" s="20">
        <v>1</v>
      </c>
      <c r="D78" s="22">
        <f t="shared" si="31"/>
        <v>63.74</v>
      </c>
      <c r="E78" s="22">
        <f t="shared" si="32"/>
        <v>12</v>
      </c>
      <c r="F78" s="22">
        <f t="shared" si="33"/>
        <v>12</v>
      </c>
      <c r="G78" s="45">
        <f t="shared" si="34"/>
        <v>75.740000000000009</v>
      </c>
      <c r="H78" s="24">
        <f t="shared" si="35"/>
        <v>75.740000000000009</v>
      </c>
      <c r="I78">
        <f t="shared" si="36"/>
        <v>63.74</v>
      </c>
    </row>
    <row r="79" spans="1:9" outlineLevel="1" x14ac:dyDescent="0.2">
      <c r="A79" s="27"/>
      <c r="B79" s="18" t="s">
        <v>53</v>
      </c>
      <c r="C79" s="20">
        <v>1</v>
      </c>
      <c r="D79" s="22">
        <f t="shared" si="31"/>
        <v>89.61</v>
      </c>
      <c r="E79" s="22">
        <f t="shared" si="32"/>
        <v>33</v>
      </c>
      <c r="F79" s="22">
        <f t="shared" si="33"/>
        <v>33</v>
      </c>
      <c r="G79" s="45">
        <f t="shared" si="34"/>
        <v>122.61</v>
      </c>
      <c r="H79" s="24">
        <f t="shared" si="35"/>
        <v>122.61</v>
      </c>
      <c r="I79">
        <f t="shared" si="36"/>
        <v>89.61</v>
      </c>
    </row>
    <row r="80" spans="1:9" outlineLevel="1" x14ac:dyDescent="0.2">
      <c r="A80" s="27"/>
      <c r="B80" s="18" t="s">
        <v>54</v>
      </c>
      <c r="C80" s="20">
        <v>2</v>
      </c>
      <c r="D80" s="22">
        <f t="shared" si="31"/>
        <v>86.09</v>
      </c>
      <c r="E80" s="22">
        <f t="shared" si="32"/>
        <v>33</v>
      </c>
      <c r="F80" s="22">
        <f t="shared" si="33"/>
        <v>66</v>
      </c>
      <c r="G80" s="45">
        <f t="shared" si="34"/>
        <v>119.09</v>
      </c>
      <c r="H80" s="24">
        <f t="shared" si="35"/>
        <v>238.18</v>
      </c>
      <c r="I80">
        <f t="shared" si="36"/>
        <v>172.18</v>
      </c>
    </row>
    <row r="81" spans="1:9" outlineLevel="1" x14ac:dyDescent="0.2">
      <c r="A81" s="27"/>
      <c r="B81" s="18" t="s">
        <v>55</v>
      </c>
      <c r="C81" s="20">
        <v>2</v>
      </c>
      <c r="D81" s="22">
        <f t="shared" si="31"/>
        <v>85.31</v>
      </c>
      <c r="E81" s="22">
        <f t="shared" si="32"/>
        <v>33</v>
      </c>
      <c r="F81" s="22">
        <f t="shared" si="33"/>
        <v>66</v>
      </c>
      <c r="G81" s="45">
        <f t="shared" si="34"/>
        <v>118.31</v>
      </c>
      <c r="H81" s="24">
        <f t="shared" si="35"/>
        <v>236.62</v>
      </c>
      <c r="I81">
        <f t="shared" si="36"/>
        <v>170.62</v>
      </c>
    </row>
    <row r="82" spans="1:9" outlineLevel="1" x14ac:dyDescent="0.2">
      <c r="A82" s="27"/>
      <c r="B82" s="18" t="s">
        <v>58</v>
      </c>
      <c r="C82" s="20">
        <v>2</v>
      </c>
      <c r="D82" s="22">
        <f t="shared" si="31"/>
        <v>73.760000000000005</v>
      </c>
      <c r="E82" s="22">
        <f t="shared" si="32"/>
        <v>33</v>
      </c>
      <c r="F82" s="22">
        <f t="shared" si="33"/>
        <v>66</v>
      </c>
      <c r="G82" s="45">
        <f t="shared" si="34"/>
        <v>106.76</v>
      </c>
      <c r="H82" s="24">
        <f t="shared" si="35"/>
        <v>213.52</v>
      </c>
      <c r="I82">
        <f t="shared" si="36"/>
        <v>147.52000000000001</v>
      </c>
    </row>
    <row r="83" spans="1:9" outlineLevel="1" x14ac:dyDescent="0.2">
      <c r="A83" s="27"/>
      <c r="B83" s="18" t="s">
        <v>59</v>
      </c>
      <c r="C83" s="20">
        <v>1</v>
      </c>
      <c r="D83" s="22">
        <f t="shared" si="31"/>
        <v>133.4</v>
      </c>
      <c r="E83" s="22">
        <f t="shared" si="32"/>
        <v>33</v>
      </c>
      <c r="F83" s="22">
        <f t="shared" si="33"/>
        <v>33</v>
      </c>
      <c r="G83" s="45">
        <f t="shared" si="34"/>
        <v>166.4</v>
      </c>
      <c r="H83" s="24">
        <f t="shared" si="35"/>
        <v>166.4</v>
      </c>
      <c r="I83">
        <f t="shared" si="36"/>
        <v>133.4</v>
      </c>
    </row>
    <row r="84" spans="1:9" x14ac:dyDescent="0.2">
      <c r="A84" s="28" t="s">
        <v>43</v>
      </c>
      <c r="B84" s="29"/>
      <c r="C84" s="30">
        <f>SUM(C74:C83)</f>
        <v>44</v>
      </c>
      <c r="D84" s="29"/>
      <c r="E84" s="29"/>
      <c r="F84" s="193">
        <f>SUM(F74:F83)</f>
        <v>608</v>
      </c>
      <c r="G84" s="194"/>
      <c r="H84" s="32">
        <f>SUM(H74:H83)</f>
        <v>2872.14</v>
      </c>
      <c r="I84" s="69">
        <f>SUM(I74:I83)</f>
        <v>2264.14</v>
      </c>
    </row>
    <row r="85" spans="1:9" outlineLevel="1" x14ac:dyDescent="0.2">
      <c r="A85" s="17" t="s">
        <v>44</v>
      </c>
      <c r="B85" s="18" t="s">
        <v>49</v>
      </c>
      <c r="C85" s="20">
        <v>15</v>
      </c>
      <c r="D85" s="22">
        <f t="shared" ref="D85:D94" si="37">VLOOKUP(B85,$A$144:$D$156,2,FALSE)</f>
        <v>31</v>
      </c>
      <c r="E85" s="22">
        <f t="shared" ref="E85:E94" si="38">VLOOKUP(B85,$A$144:$D$156,3,FALSE)</f>
        <v>8</v>
      </c>
      <c r="F85" s="38">
        <f t="shared" si="33"/>
        <v>120</v>
      </c>
      <c r="G85" s="45">
        <f t="shared" ref="G85:G93" si="39">D85+E85</f>
        <v>39</v>
      </c>
      <c r="H85" s="24">
        <f t="shared" ref="H85:H93" si="40">C85*G85</f>
        <v>585</v>
      </c>
      <c r="I85">
        <f t="shared" ref="I85:I94" si="41">C85*D85</f>
        <v>465</v>
      </c>
    </row>
    <row r="86" spans="1:9" outlineLevel="1" x14ac:dyDescent="0.2">
      <c r="A86" s="25"/>
      <c r="B86" s="49" t="s">
        <v>50</v>
      </c>
      <c r="C86" s="21">
        <v>0</v>
      </c>
      <c r="D86" s="23">
        <f t="shared" si="37"/>
        <v>64.81</v>
      </c>
      <c r="E86" s="23">
        <f t="shared" si="38"/>
        <v>12</v>
      </c>
      <c r="F86" s="22">
        <f t="shared" si="33"/>
        <v>0</v>
      </c>
      <c r="G86" s="46">
        <f t="shared" si="39"/>
        <v>76.81</v>
      </c>
      <c r="H86" s="47">
        <f t="shared" si="40"/>
        <v>0</v>
      </c>
      <c r="I86">
        <f t="shared" si="41"/>
        <v>0</v>
      </c>
    </row>
    <row r="87" spans="1:9" outlineLevel="1" x14ac:dyDescent="0.2">
      <c r="A87" s="33"/>
      <c r="B87" s="35" t="s">
        <v>51</v>
      </c>
      <c r="C87" s="36">
        <v>7</v>
      </c>
      <c r="D87" s="38">
        <f t="shared" si="37"/>
        <v>61.75</v>
      </c>
      <c r="E87" s="38">
        <f t="shared" si="38"/>
        <v>12</v>
      </c>
      <c r="F87" s="22">
        <f t="shared" si="33"/>
        <v>84</v>
      </c>
      <c r="G87" s="48">
        <f t="shared" si="39"/>
        <v>73.75</v>
      </c>
      <c r="H87" s="39">
        <f t="shared" si="40"/>
        <v>516.25</v>
      </c>
      <c r="I87">
        <f t="shared" si="41"/>
        <v>432.25</v>
      </c>
    </row>
    <row r="88" spans="1:9" outlineLevel="1" x14ac:dyDescent="0.2">
      <c r="A88" s="27"/>
      <c r="B88" s="18" t="s">
        <v>52</v>
      </c>
      <c r="C88" s="20">
        <v>1</v>
      </c>
      <c r="D88" s="22">
        <f t="shared" si="37"/>
        <v>64.069999999999993</v>
      </c>
      <c r="E88" s="22">
        <f t="shared" si="38"/>
        <v>12</v>
      </c>
      <c r="F88" s="22">
        <f t="shared" si="33"/>
        <v>12</v>
      </c>
      <c r="G88" s="45">
        <f t="shared" si="39"/>
        <v>76.069999999999993</v>
      </c>
      <c r="H88" s="24">
        <f t="shared" si="40"/>
        <v>76.069999999999993</v>
      </c>
      <c r="I88">
        <f t="shared" si="41"/>
        <v>64.069999999999993</v>
      </c>
    </row>
    <row r="89" spans="1:9" outlineLevel="1" x14ac:dyDescent="0.2">
      <c r="A89" s="27"/>
      <c r="B89" s="18" t="s">
        <v>60</v>
      </c>
      <c r="C89" s="20">
        <v>1</v>
      </c>
      <c r="D89" s="22">
        <f t="shared" si="37"/>
        <v>63.74</v>
      </c>
      <c r="E89" s="22">
        <f t="shared" si="38"/>
        <v>12</v>
      </c>
      <c r="F89" s="22">
        <f t="shared" si="33"/>
        <v>12</v>
      </c>
      <c r="G89" s="45">
        <f t="shared" si="39"/>
        <v>75.740000000000009</v>
      </c>
      <c r="H89" s="24">
        <f t="shared" si="40"/>
        <v>75.740000000000009</v>
      </c>
      <c r="I89">
        <f t="shared" si="41"/>
        <v>63.74</v>
      </c>
    </row>
    <row r="90" spans="1:9" outlineLevel="1" x14ac:dyDescent="0.2">
      <c r="A90" s="27"/>
      <c r="B90" s="18" t="s">
        <v>53</v>
      </c>
      <c r="C90" s="20">
        <v>1</v>
      </c>
      <c r="D90" s="22">
        <f t="shared" si="37"/>
        <v>89.61</v>
      </c>
      <c r="E90" s="22">
        <f t="shared" si="38"/>
        <v>33</v>
      </c>
      <c r="F90" s="22">
        <f t="shared" si="33"/>
        <v>33</v>
      </c>
      <c r="G90" s="45">
        <f t="shared" si="39"/>
        <v>122.61</v>
      </c>
      <c r="H90" s="24">
        <f t="shared" si="40"/>
        <v>122.61</v>
      </c>
      <c r="I90">
        <f t="shared" si="41"/>
        <v>89.61</v>
      </c>
    </row>
    <row r="91" spans="1:9" outlineLevel="1" x14ac:dyDescent="0.2">
      <c r="A91" s="27"/>
      <c r="B91" s="18" t="s">
        <v>54</v>
      </c>
      <c r="C91" s="20">
        <v>2</v>
      </c>
      <c r="D91" s="22">
        <f t="shared" si="37"/>
        <v>86.09</v>
      </c>
      <c r="E91" s="22">
        <f t="shared" si="38"/>
        <v>33</v>
      </c>
      <c r="F91" s="22">
        <f t="shared" si="33"/>
        <v>66</v>
      </c>
      <c r="G91" s="45">
        <f t="shared" si="39"/>
        <v>119.09</v>
      </c>
      <c r="H91" s="24">
        <f t="shared" si="40"/>
        <v>238.18</v>
      </c>
      <c r="I91">
        <f t="shared" si="41"/>
        <v>172.18</v>
      </c>
    </row>
    <row r="92" spans="1:9" outlineLevel="1" x14ac:dyDescent="0.2">
      <c r="A92" s="27"/>
      <c r="B92" s="18" t="s">
        <v>55</v>
      </c>
      <c r="C92" s="20">
        <v>2</v>
      </c>
      <c r="D92" s="22">
        <f t="shared" si="37"/>
        <v>85.31</v>
      </c>
      <c r="E92" s="22">
        <f t="shared" si="38"/>
        <v>33</v>
      </c>
      <c r="F92" s="22">
        <f t="shared" si="33"/>
        <v>66</v>
      </c>
      <c r="G92" s="45">
        <f t="shared" si="39"/>
        <v>118.31</v>
      </c>
      <c r="H92" s="24">
        <f t="shared" si="40"/>
        <v>236.62</v>
      </c>
      <c r="I92">
        <f t="shared" si="41"/>
        <v>170.62</v>
      </c>
    </row>
    <row r="93" spans="1:9" outlineLevel="1" x14ac:dyDescent="0.2">
      <c r="A93" s="27"/>
      <c r="B93" s="18" t="s">
        <v>58</v>
      </c>
      <c r="C93" s="20">
        <v>2</v>
      </c>
      <c r="D93" s="22">
        <f t="shared" si="37"/>
        <v>73.760000000000005</v>
      </c>
      <c r="E93" s="22">
        <f t="shared" si="38"/>
        <v>33</v>
      </c>
      <c r="F93" s="22">
        <f t="shared" si="33"/>
        <v>66</v>
      </c>
      <c r="G93" s="45">
        <f t="shared" si="39"/>
        <v>106.76</v>
      </c>
      <c r="H93" s="24">
        <f t="shared" si="40"/>
        <v>213.52</v>
      </c>
      <c r="I93">
        <f t="shared" si="41"/>
        <v>147.52000000000001</v>
      </c>
    </row>
    <row r="94" spans="1:9" outlineLevel="1" x14ac:dyDescent="0.2">
      <c r="A94" s="27"/>
      <c r="B94" s="18" t="s">
        <v>59</v>
      </c>
      <c r="C94" s="20">
        <v>1</v>
      </c>
      <c r="D94" s="22">
        <f t="shared" si="37"/>
        <v>133.4</v>
      </c>
      <c r="E94" s="22">
        <f t="shared" si="38"/>
        <v>33</v>
      </c>
      <c r="F94" s="22">
        <f t="shared" si="33"/>
        <v>33</v>
      </c>
      <c r="G94" s="45">
        <f>D94+E94</f>
        <v>166.4</v>
      </c>
      <c r="H94" s="24">
        <f>C94*G94</f>
        <v>166.4</v>
      </c>
      <c r="I94">
        <f t="shared" si="41"/>
        <v>133.4</v>
      </c>
    </row>
    <row r="95" spans="1:9" x14ac:dyDescent="0.2">
      <c r="A95" s="28" t="s">
        <v>45</v>
      </c>
      <c r="B95" s="29"/>
      <c r="C95" s="30">
        <f>SUM(C85:C94)</f>
        <v>32</v>
      </c>
      <c r="D95" s="29"/>
      <c r="E95" s="29"/>
      <c r="F95" s="69">
        <f>SUM(F85:F94)</f>
        <v>492</v>
      </c>
      <c r="G95" s="194"/>
      <c r="H95" s="32">
        <f>SUM(H85:H94)</f>
        <v>2230.39</v>
      </c>
      <c r="I95" s="69">
        <f>SUM(I85:I94)</f>
        <v>1738.3899999999999</v>
      </c>
    </row>
    <row r="97" spans="1:9" s="199" customFormat="1" ht="16" x14ac:dyDescent="0.2">
      <c r="A97" s="199" t="s">
        <v>108</v>
      </c>
      <c r="B97" s="200" t="s">
        <v>107</v>
      </c>
      <c r="C97" s="201">
        <f>C99</f>
        <v>346</v>
      </c>
      <c r="D97" s="199">
        <v>0.5</v>
      </c>
      <c r="I97" s="199">
        <f>C97*D97</f>
        <v>173</v>
      </c>
    </row>
    <row r="98" spans="1:9" x14ac:dyDescent="0.2">
      <c r="F98" s="203" t="s">
        <v>169</v>
      </c>
      <c r="G98" s="203" t="s">
        <v>168</v>
      </c>
      <c r="H98" s="203" t="s">
        <v>170</v>
      </c>
    </row>
    <row r="99" spans="1:9" x14ac:dyDescent="0.2">
      <c r="A99" s="34" t="s">
        <v>18</v>
      </c>
      <c r="B99" s="41"/>
      <c r="C99" s="37">
        <f>C18+C29+C40+C51+C62+C73+C84+C95</f>
        <v>346</v>
      </c>
      <c r="D99" s="195"/>
      <c r="E99" s="196"/>
      <c r="F99" s="198">
        <f>F18+F29+F40+F51+F62+F73+F84+F95</f>
        <v>4754</v>
      </c>
      <c r="G99" s="197">
        <f>H99-F99</f>
        <v>17754.729999999996</v>
      </c>
      <c r="H99" s="40">
        <f>H18+H29+H40+H51+H62+H73+H84+H95</f>
        <v>22508.729999999996</v>
      </c>
      <c r="I99" s="69">
        <f>I18+I29+I40+I51+I62+I73+I84+I95</f>
        <v>17754.729999999996</v>
      </c>
    </row>
    <row r="100" spans="1:9" x14ac:dyDescent="0.2">
      <c r="F100" s="202">
        <f>F99/H99</f>
        <v>0.2112069405959377</v>
      </c>
      <c r="G100" s="202">
        <f>G99/H99</f>
        <v>0.7887930594040623</v>
      </c>
    </row>
    <row r="101" spans="1:9" x14ac:dyDescent="0.2">
      <c r="A101" s="59" t="s">
        <v>74</v>
      </c>
      <c r="B101" s="58"/>
      <c r="C101" s="58"/>
      <c r="D101" s="58"/>
      <c r="E101" s="64"/>
    </row>
    <row r="102" spans="1:9" x14ac:dyDescent="0.2">
      <c r="A102" s="70" t="s">
        <v>75</v>
      </c>
      <c r="B102" s="70" t="s">
        <v>76</v>
      </c>
      <c r="C102" s="70" t="s">
        <v>77</v>
      </c>
      <c r="D102" s="70" t="s">
        <v>73</v>
      </c>
      <c r="E102" s="71" t="s">
        <v>11</v>
      </c>
    </row>
    <row r="103" spans="1:9" x14ac:dyDescent="0.2">
      <c r="A103" s="27" t="s">
        <v>94</v>
      </c>
      <c r="B103" s="44">
        <v>137.30000000000001</v>
      </c>
      <c r="C103" s="72">
        <v>1</v>
      </c>
      <c r="D103" s="74">
        <f t="shared" ref="D103:D113" si="42">B103*C103</f>
        <v>137.30000000000001</v>
      </c>
      <c r="E103" s="76" t="s">
        <v>78</v>
      </c>
    </row>
    <row r="104" spans="1:9" x14ac:dyDescent="0.2">
      <c r="A104" s="27" t="s">
        <v>95</v>
      </c>
      <c r="B104" s="44">
        <v>134.15</v>
      </c>
      <c r="C104" s="72">
        <v>1</v>
      </c>
      <c r="D104" s="74">
        <f t="shared" si="42"/>
        <v>134.15</v>
      </c>
      <c r="E104" s="76" t="s">
        <v>78</v>
      </c>
    </row>
    <row r="105" spans="1:9" x14ac:dyDescent="0.2">
      <c r="A105" s="27" t="s">
        <v>79</v>
      </c>
      <c r="B105" s="44">
        <v>324.64</v>
      </c>
      <c r="C105" s="72">
        <v>1</v>
      </c>
      <c r="D105" s="74">
        <f t="shared" si="42"/>
        <v>324.64</v>
      </c>
      <c r="E105" s="76" t="s">
        <v>30</v>
      </c>
    </row>
    <row r="106" spans="1:9" x14ac:dyDescent="0.2">
      <c r="A106" s="27" t="s">
        <v>80</v>
      </c>
      <c r="B106" s="44">
        <v>318.39999999999998</v>
      </c>
      <c r="C106" s="72">
        <v>6</v>
      </c>
      <c r="D106" s="74">
        <f t="shared" si="42"/>
        <v>1910.3999999999999</v>
      </c>
      <c r="E106" s="76" t="s">
        <v>81</v>
      </c>
    </row>
    <row r="107" spans="1:9" x14ac:dyDescent="0.2">
      <c r="A107" s="27" t="s">
        <v>82</v>
      </c>
      <c r="B107" s="44">
        <v>216.28</v>
      </c>
      <c r="C107" s="72">
        <v>1</v>
      </c>
      <c r="D107" s="74">
        <f t="shared" si="42"/>
        <v>216.28</v>
      </c>
      <c r="E107" s="76" t="s">
        <v>44</v>
      </c>
    </row>
    <row r="108" spans="1:9" x14ac:dyDescent="0.2">
      <c r="A108" s="27" t="s">
        <v>83</v>
      </c>
      <c r="B108" s="44">
        <v>35.340000000000003</v>
      </c>
      <c r="C108" s="72">
        <v>8</v>
      </c>
      <c r="D108" s="74">
        <f t="shared" si="42"/>
        <v>282.72000000000003</v>
      </c>
      <c r="E108" s="76" t="s">
        <v>84</v>
      </c>
    </row>
    <row r="109" spans="1:9" x14ac:dyDescent="0.2">
      <c r="A109" s="27" t="s">
        <v>85</v>
      </c>
      <c r="B109" s="44">
        <v>15.4</v>
      </c>
      <c r="C109" s="72">
        <v>8</v>
      </c>
      <c r="D109" s="74">
        <f t="shared" si="42"/>
        <v>123.2</v>
      </c>
      <c r="E109" s="76" t="s">
        <v>84</v>
      </c>
    </row>
    <row r="110" spans="1:9" x14ac:dyDescent="0.2">
      <c r="A110" s="27" t="s">
        <v>86</v>
      </c>
      <c r="B110" s="44">
        <v>30.5</v>
      </c>
      <c r="C110" s="72">
        <v>8</v>
      </c>
      <c r="D110" s="74">
        <f t="shared" si="42"/>
        <v>244</v>
      </c>
      <c r="E110" s="76" t="s">
        <v>84</v>
      </c>
    </row>
    <row r="111" spans="1:9" x14ac:dyDescent="0.2">
      <c r="A111" s="91" t="s">
        <v>96</v>
      </c>
      <c r="B111" s="44">
        <v>30.88</v>
      </c>
      <c r="C111" s="97">
        <v>1</v>
      </c>
      <c r="D111" s="98">
        <f t="shared" si="42"/>
        <v>30.88</v>
      </c>
      <c r="E111" s="104" t="s">
        <v>42</v>
      </c>
    </row>
    <row r="112" spans="1:9" x14ac:dyDescent="0.2">
      <c r="A112" s="92" t="s">
        <v>106</v>
      </c>
      <c r="B112" s="55">
        <v>71.17</v>
      </c>
      <c r="C112" s="93">
        <v>1</v>
      </c>
      <c r="D112" s="95">
        <f t="shared" si="42"/>
        <v>71.17</v>
      </c>
      <c r="E112" s="94" t="s">
        <v>42</v>
      </c>
    </row>
    <row r="113" spans="1:6" x14ac:dyDescent="0.2">
      <c r="A113" s="33" t="s">
        <v>87</v>
      </c>
      <c r="B113" s="56">
        <v>119.19</v>
      </c>
      <c r="C113" s="78">
        <v>1</v>
      </c>
      <c r="D113" s="80">
        <f t="shared" si="42"/>
        <v>119.19</v>
      </c>
      <c r="E113" s="79" t="s">
        <v>44</v>
      </c>
    </row>
    <row r="114" spans="1:6" x14ac:dyDescent="0.2">
      <c r="A114" s="92" t="s">
        <v>164</v>
      </c>
      <c r="B114" s="55">
        <v>924.25</v>
      </c>
      <c r="C114" s="93">
        <v>1</v>
      </c>
      <c r="D114" s="95">
        <v>0</v>
      </c>
      <c r="E114" s="96" t="s">
        <v>165</v>
      </c>
    </row>
    <row r="115" spans="1:6" x14ac:dyDescent="0.2">
      <c r="A115" s="33" t="s">
        <v>88</v>
      </c>
      <c r="B115" s="56">
        <v>320.16000000000003</v>
      </c>
      <c r="C115" s="78">
        <v>1</v>
      </c>
      <c r="D115" s="80">
        <v>0</v>
      </c>
      <c r="E115" s="81" t="s">
        <v>89</v>
      </c>
    </row>
    <row r="116" spans="1:6" x14ac:dyDescent="0.2">
      <c r="A116" s="27" t="s">
        <v>90</v>
      </c>
      <c r="B116" s="44">
        <v>238.5</v>
      </c>
      <c r="C116" s="72">
        <v>1</v>
      </c>
      <c r="D116" s="74">
        <f>B116*C116</f>
        <v>238.5</v>
      </c>
      <c r="E116" s="76" t="s">
        <v>44</v>
      </c>
    </row>
    <row r="117" spans="1:6" x14ac:dyDescent="0.2">
      <c r="A117" s="91" t="s">
        <v>97</v>
      </c>
      <c r="B117" s="44">
        <v>120.55</v>
      </c>
      <c r="C117" s="97">
        <v>1</v>
      </c>
      <c r="D117" s="98">
        <v>0</v>
      </c>
      <c r="E117" s="99" t="s">
        <v>98</v>
      </c>
    </row>
    <row r="118" spans="1:6" x14ac:dyDescent="0.2">
      <c r="A118" s="91" t="s">
        <v>99</v>
      </c>
      <c r="B118" s="44">
        <v>48.75</v>
      </c>
      <c r="C118" s="97">
        <v>1</v>
      </c>
      <c r="D118" s="98">
        <v>0</v>
      </c>
      <c r="E118" s="99" t="s">
        <v>98</v>
      </c>
    </row>
    <row r="119" spans="1:6" x14ac:dyDescent="0.2">
      <c r="A119" s="91" t="s">
        <v>100</v>
      </c>
      <c r="B119" s="44">
        <v>111.96</v>
      </c>
      <c r="C119" s="97">
        <v>1</v>
      </c>
      <c r="D119" s="98">
        <v>0</v>
      </c>
      <c r="E119" s="99" t="s">
        <v>98</v>
      </c>
    </row>
    <row r="120" spans="1:6" x14ac:dyDescent="0.2">
      <c r="A120" s="91" t="s">
        <v>101</v>
      </c>
      <c r="B120" s="44">
        <v>59.7</v>
      </c>
      <c r="C120" s="97">
        <v>1</v>
      </c>
      <c r="D120" s="98">
        <v>0</v>
      </c>
      <c r="E120" s="99" t="s">
        <v>98</v>
      </c>
    </row>
    <row r="121" spans="1:6" x14ac:dyDescent="0.2">
      <c r="A121" s="91" t="s">
        <v>102</v>
      </c>
      <c r="B121" s="44">
        <v>108.15</v>
      </c>
      <c r="C121" s="97">
        <v>1</v>
      </c>
      <c r="D121" s="98">
        <v>0</v>
      </c>
      <c r="E121" s="99" t="s">
        <v>98</v>
      </c>
    </row>
    <row r="122" spans="1:6" x14ac:dyDescent="0.2">
      <c r="A122" s="91" t="s">
        <v>103</v>
      </c>
      <c r="B122" s="44">
        <v>82.01</v>
      </c>
      <c r="C122" s="97">
        <v>1</v>
      </c>
      <c r="D122" s="98">
        <v>0</v>
      </c>
      <c r="E122" s="99" t="s">
        <v>98</v>
      </c>
    </row>
    <row r="123" spans="1:6" x14ac:dyDescent="0.2">
      <c r="A123" s="91" t="s">
        <v>104</v>
      </c>
      <c r="B123" s="44">
        <v>124.7</v>
      </c>
      <c r="C123" s="97">
        <v>1</v>
      </c>
      <c r="D123" s="98">
        <v>0</v>
      </c>
      <c r="E123" s="99" t="s">
        <v>98</v>
      </c>
    </row>
    <row r="124" spans="1:6" x14ac:dyDescent="0.2">
      <c r="A124" s="92" t="s">
        <v>105</v>
      </c>
      <c r="B124" s="55">
        <v>46.68</v>
      </c>
      <c r="C124" s="93">
        <v>1</v>
      </c>
      <c r="D124" s="95">
        <v>0</v>
      </c>
      <c r="E124" s="96" t="s">
        <v>98</v>
      </c>
    </row>
    <row r="125" spans="1:6" x14ac:dyDescent="0.2">
      <c r="A125" s="100" t="s">
        <v>91</v>
      </c>
      <c r="B125" s="101"/>
      <c r="C125" s="101"/>
      <c r="D125" s="102">
        <f>SUM(D103:D124)</f>
        <v>3832.43</v>
      </c>
      <c r="E125" s="103"/>
    </row>
    <row r="126" spans="1:6" ht="16" thickBot="1" x14ac:dyDescent="0.25"/>
    <row r="127" spans="1:6" ht="17" thickBot="1" x14ac:dyDescent="0.25">
      <c r="A127" s="87" t="s">
        <v>92</v>
      </c>
      <c r="B127" s="88"/>
      <c r="C127" s="88"/>
      <c r="D127" s="89">
        <f>I99+D125-I97</f>
        <v>21414.159999999996</v>
      </c>
      <c r="E127" s="90" t="s">
        <v>93</v>
      </c>
      <c r="F127" s="192"/>
    </row>
    <row r="132" spans="1:7" x14ac:dyDescent="0.2">
      <c r="A132" s="42" t="s">
        <v>19</v>
      </c>
      <c r="B132" s="19"/>
      <c r="C132" s="19"/>
      <c r="D132" s="19"/>
    </row>
    <row r="133" spans="1:7" x14ac:dyDescent="0.2">
      <c r="A133" s="16" t="s">
        <v>15</v>
      </c>
      <c r="B133" s="16" t="s">
        <v>56</v>
      </c>
      <c r="C133" s="16" t="s">
        <v>57</v>
      </c>
      <c r="D133" s="12" t="s">
        <v>29</v>
      </c>
    </row>
    <row r="134" spans="1:7" x14ac:dyDescent="0.2">
      <c r="A134" s="17" t="s">
        <v>20</v>
      </c>
      <c r="B134" s="43">
        <v>0</v>
      </c>
      <c r="C134" s="44">
        <v>0</v>
      </c>
      <c r="D134" s="26">
        <f>B134*C134/100</f>
        <v>0</v>
      </c>
    </row>
    <row r="135" spans="1:7" x14ac:dyDescent="0.2">
      <c r="A135" s="17" t="s">
        <v>21</v>
      </c>
      <c r="B135" s="43">
        <v>0</v>
      </c>
      <c r="C135" s="44">
        <v>0</v>
      </c>
      <c r="D135" s="26">
        <f>B135*C135/100</f>
        <v>0</v>
      </c>
    </row>
    <row r="136" spans="1:7" x14ac:dyDescent="0.2">
      <c r="A136" s="28" t="s">
        <v>22</v>
      </c>
      <c r="B136" s="29"/>
      <c r="C136" s="29"/>
      <c r="D136" s="31">
        <f>SUM(D134:D135)</f>
        <v>0</v>
      </c>
    </row>
    <row r="138" spans="1:7" x14ac:dyDescent="0.2">
      <c r="A138" s="59" t="s">
        <v>70</v>
      </c>
      <c r="B138" s="58"/>
      <c r="C138" s="58"/>
      <c r="D138" s="64"/>
    </row>
    <row r="139" spans="1:7" x14ac:dyDescent="0.2">
      <c r="A139" s="65" t="s">
        <v>71</v>
      </c>
      <c r="B139" s="204">
        <v>6764.31</v>
      </c>
      <c r="C139" s="61"/>
      <c r="D139" s="66"/>
    </row>
    <row r="140" spans="1:7" x14ac:dyDescent="0.2">
      <c r="A140" s="60" t="s">
        <v>72</v>
      </c>
      <c r="B140" s="205">
        <v>20322.240000000002</v>
      </c>
      <c r="C140" s="62"/>
      <c r="D140" s="63"/>
    </row>
    <row r="142" spans="1:7" x14ac:dyDescent="0.2">
      <c r="A142" s="52" t="s">
        <v>63</v>
      </c>
      <c r="B142" s="50"/>
      <c r="C142" s="50"/>
      <c r="D142" s="50"/>
      <c r="E142" s="51"/>
      <c r="F142" s="50"/>
      <c r="G142" s="54"/>
    </row>
    <row r="143" spans="1:7" x14ac:dyDescent="0.2">
      <c r="A143" s="16" t="s">
        <v>17</v>
      </c>
      <c r="B143" s="16" t="s">
        <v>65</v>
      </c>
      <c r="C143" s="16" t="s">
        <v>67</v>
      </c>
      <c r="D143" s="16" t="s">
        <v>66</v>
      </c>
      <c r="E143" s="67" t="s">
        <v>141</v>
      </c>
      <c r="F143" s="67"/>
      <c r="G143" s="12" t="s">
        <v>142</v>
      </c>
    </row>
    <row r="144" spans="1:7" x14ac:dyDescent="0.2">
      <c r="A144" s="142" t="s">
        <v>49</v>
      </c>
      <c r="B144" s="143">
        <v>31</v>
      </c>
      <c r="C144" s="143">
        <v>8</v>
      </c>
      <c r="D144" s="144">
        <f>B144+C144</f>
        <v>39</v>
      </c>
      <c r="E144" s="145">
        <f>SUMIF($B$9:$B$97,A144,$C$9:$C$97)</f>
        <v>175</v>
      </c>
      <c r="F144" s="145"/>
      <c r="G144" s="146">
        <f t="shared" ref="G144:G149" si="43">E144/$E$157</f>
        <v>0.5057803468208093</v>
      </c>
    </row>
    <row r="145" spans="1:7" x14ac:dyDescent="0.2">
      <c r="A145" s="147" t="s">
        <v>143</v>
      </c>
      <c r="B145" s="148"/>
      <c r="C145" s="148"/>
      <c r="D145" s="149"/>
      <c r="E145" s="150">
        <f>E144</f>
        <v>175</v>
      </c>
      <c r="F145" s="150"/>
      <c r="G145" s="151">
        <f t="shared" si="43"/>
        <v>0.5057803468208093</v>
      </c>
    </row>
    <row r="146" spans="1:7" x14ac:dyDescent="0.2">
      <c r="A146" s="118" t="s">
        <v>50</v>
      </c>
      <c r="B146" s="152">
        <v>64.81</v>
      </c>
      <c r="C146" s="152">
        <v>12</v>
      </c>
      <c r="D146" s="153">
        <f>B146+C146</f>
        <v>76.81</v>
      </c>
      <c r="E146" s="154">
        <f>SUMIF($B$9:$B$94,A146,$C$9:$C$94)</f>
        <v>1</v>
      </c>
      <c r="F146" s="154"/>
      <c r="G146" s="155">
        <f t="shared" si="43"/>
        <v>2.8901734104046241E-3</v>
      </c>
    </row>
    <row r="147" spans="1:7" x14ac:dyDescent="0.2">
      <c r="A147" s="118" t="s">
        <v>51</v>
      </c>
      <c r="B147" s="152">
        <v>61.75</v>
      </c>
      <c r="C147" s="152">
        <v>12</v>
      </c>
      <c r="D147" s="153">
        <f>B147+C147</f>
        <v>73.75</v>
      </c>
      <c r="E147" s="154">
        <f>SUMIF($B$9:$B$94,A147,$C$9:$C$94)</f>
        <v>91</v>
      </c>
      <c r="F147" s="154"/>
      <c r="G147" s="155">
        <f t="shared" si="43"/>
        <v>0.26300578034682082</v>
      </c>
    </row>
    <row r="148" spans="1:7" x14ac:dyDescent="0.2">
      <c r="A148" s="118" t="s">
        <v>52</v>
      </c>
      <c r="B148" s="152">
        <v>64.069999999999993</v>
      </c>
      <c r="C148" s="152">
        <v>12</v>
      </c>
      <c r="D148" s="153">
        <f>B148+C148</f>
        <v>76.069999999999993</v>
      </c>
      <c r="E148" s="154">
        <f>SUMIF($B$9:$B$94,A148,$C$9:$C$94)</f>
        <v>9</v>
      </c>
      <c r="F148" s="154"/>
      <c r="G148" s="155">
        <f t="shared" si="43"/>
        <v>2.6011560693641619E-2</v>
      </c>
    </row>
    <row r="149" spans="1:7" x14ac:dyDescent="0.2">
      <c r="A149" s="118" t="s">
        <v>60</v>
      </c>
      <c r="B149" s="152">
        <v>63.74</v>
      </c>
      <c r="C149" s="152">
        <v>12</v>
      </c>
      <c r="D149" s="153">
        <f>B149+C149</f>
        <v>75.740000000000009</v>
      </c>
      <c r="E149" s="154">
        <f>SUMIF($B$9:$B$94,A149,$C$9:$C$94)</f>
        <v>8</v>
      </c>
      <c r="F149" s="154"/>
      <c r="G149" s="155">
        <f t="shared" si="43"/>
        <v>2.3121387283236993E-2</v>
      </c>
    </row>
    <row r="150" spans="1:7" x14ac:dyDescent="0.2">
      <c r="A150" s="156" t="s">
        <v>144</v>
      </c>
      <c r="B150" s="157"/>
      <c r="C150" s="157"/>
      <c r="D150" s="158"/>
      <c r="E150" s="159">
        <f>SUM(E146:E149)</f>
        <v>109</v>
      </c>
      <c r="F150" s="159"/>
      <c r="G150" s="160">
        <f>SUM(G146:G149)</f>
        <v>0.31502890173410408</v>
      </c>
    </row>
    <row r="151" spans="1:7" x14ac:dyDescent="0.2">
      <c r="A151" s="121" t="s">
        <v>53</v>
      </c>
      <c r="B151" s="161">
        <v>89.61</v>
      </c>
      <c r="C151" s="161">
        <v>33</v>
      </c>
      <c r="D151" s="162">
        <f>B151+C151</f>
        <v>122.61</v>
      </c>
      <c r="E151" s="163">
        <f>SUMIF($B$9:$B$94,A151,$C$9:$C$94)</f>
        <v>8</v>
      </c>
      <c r="F151" s="163"/>
      <c r="G151" s="164">
        <f>E151/$E$157</f>
        <v>2.3121387283236993E-2</v>
      </c>
    </row>
    <row r="152" spans="1:7" x14ac:dyDescent="0.2">
      <c r="A152" s="121" t="s">
        <v>54</v>
      </c>
      <c r="B152" s="161">
        <v>86.09</v>
      </c>
      <c r="C152" s="161">
        <v>33</v>
      </c>
      <c r="D152" s="162">
        <f>B152+C152</f>
        <v>119.09</v>
      </c>
      <c r="E152" s="163">
        <f>SUMIF($B$9:$B$94,A152,$C$9:$C$94)</f>
        <v>16</v>
      </c>
      <c r="F152" s="163"/>
      <c r="G152" s="164">
        <f>E152/$E$157</f>
        <v>4.6242774566473986E-2</v>
      </c>
    </row>
    <row r="153" spans="1:7" x14ac:dyDescent="0.2">
      <c r="A153" s="121" t="s">
        <v>55</v>
      </c>
      <c r="B153" s="161">
        <v>85.31</v>
      </c>
      <c r="C153" s="161">
        <v>33</v>
      </c>
      <c r="D153" s="162">
        <f>B153+C153</f>
        <v>118.31</v>
      </c>
      <c r="E153" s="163">
        <f>SUMIF($B$9:$B$94,A153,$C$9:$C$94)</f>
        <v>16</v>
      </c>
      <c r="F153" s="163"/>
      <c r="G153" s="164">
        <f>E153/$E$157</f>
        <v>4.6242774566473986E-2</v>
      </c>
    </row>
    <row r="154" spans="1:7" x14ac:dyDescent="0.2">
      <c r="A154" s="121" t="s">
        <v>58</v>
      </c>
      <c r="B154" s="161">
        <v>73.760000000000005</v>
      </c>
      <c r="C154" s="161">
        <v>33</v>
      </c>
      <c r="D154" s="162">
        <f>B154+C154</f>
        <v>106.76</v>
      </c>
      <c r="E154" s="163">
        <f>SUMIF($B$9:$B$94,A154,$C$9:$C$94)</f>
        <v>14</v>
      </c>
      <c r="F154" s="163"/>
      <c r="G154" s="164">
        <f>E154/$E$157</f>
        <v>4.046242774566474E-2</v>
      </c>
    </row>
    <row r="155" spans="1:7" x14ac:dyDescent="0.2">
      <c r="A155" s="165" t="s">
        <v>145</v>
      </c>
      <c r="B155" s="166"/>
      <c r="C155" s="166"/>
      <c r="D155" s="168"/>
      <c r="E155" s="170">
        <f>SUM(E151:E154)</f>
        <v>54</v>
      </c>
      <c r="F155" s="170"/>
      <c r="G155" s="171">
        <f>SUM(G151:G154)</f>
        <v>0.15606936416184972</v>
      </c>
    </row>
    <row r="156" spans="1:7" x14ac:dyDescent="0.2">
      <c r="A156" s="130" t="s">
        <v>59</v>
      </c>
      <c r="B156" s="167">
        <v>133.4</v>
      </c>
      <c r="C156" s="167">
        <v>33</v>
      </c>
      <c r="D156" s="169">
        <f>B156+C156</f>
        <v>166.4</v>
      </c>
      <c r="E156" s="172">
        <f>SUMIF($B$9:$B$94,A156,$C$9:$C$94)</f>
        <v>8</v>
      </c>
      <c r="F156" s="172"/>
      <c r="G156" s="173">
        <f>E156/$E$157</f>
        <v>2.3121387283236993E-2</v>
      </c>
    </row>
    <row r="157" spans="1:7" x14ac:dyDescent="0.2">
      <c r="A157" s="100" t="s">
        <v>2</v>
      </c>
      <c r="B157" s="101"/>
      <c r="C157" s="101"/>
      <c r="D157" s="101"/>
      <c r="E157" s="108">
        <f>C99</f>
        <v>346</v>
      </c>
      <c r="F157" s="108"/>
      <c r="G157" s="141">
        <f>G145+G150+G155+G156</f>
        <v>1.0000000000000002</v>
      </c>
    </row>
    <row r="159" spans="1:7" x14ac:dyDescent="0.2">
      <c r="A159" s="138" t="s">
        <v>120</v>
      </c>
      <c r="B159" s="139"/>
      <c r="C159" s="139"/>
      <c r="D159" s="139"/>
      <c r="E159" s="140"/>
      <c r="G159">
        <f>SUMIF($B$9:$B$94,B159,$C$9:$C$94)</f>
        <v>0</v>
      </c>
    </row>
    <row r="160" spans="1:7" x14ac:dyDescent="0.2">
      <c r="A160" s="70" t="s">
        <v>110</v>
      </c>
      <c r="B160" s="70" t="s">
        <v>75</v>
      </c>
      <c r="C160" s="70" t="s">
        <v>72</v>
      </c>
      <c r="D160" s="70" t="s">
        <v>121</v>
      </c>
      <c r="E160" s="71" t="s">
        <v>11</v>
      </c>
      <c r="G160">
        <f>SUMIF($B$9:$B$94,B160,$C$9:$C$94)</f>
        <v>0</v>
      </c>
    </row>
    <row r="161" spans="1:5" x14ac:dyDescent="0.2">
      <c r="A161" s="118" t="s">
        <v>48</v>
      </c>
      <c r="B161" s="27" t="s">
        <v>122</v>
      </c>
      <c r="C161" s="74">
        <f>I99</f>
        <v>17754.729999999996</v>
      </c>
      <c r="D161" s="117">
        <f>C161/$D$127</f>
        <v>0.82911167190307722</v>
      </c>
      <c r="E161" s="119" t="s">
        <v>123</v>
      </c>
    </row>
    <row r="162" spans="1:5" x14ac:dyDescent="0.2">
      <c r="A162" s="120"/>
      <c r="B162" s="27" t="s">
        <v>124</v>
      </c>
      <c r="C162" s="74">
        <f>H99-I99</f>
        <v>4754</v>
      </c>
      <c r="D162" s="72" t="s">
        <v>64</v>
      </c>
      <c r="E162" s="119" t="s">
        <v>125</v>
      </c>
    </row>
    <row r="163" spans="1:5" x14ac:dyDescent="0.2">
      <c r="A163" s="120"/>
      <c r="B163" s="27" t="s">
        <v>126</v>
      </c>
      <c r="C163" s="74">
        <f>-I97</f>
        <v>-173</v>
      </c>
      <c r="D163" s="117">
        <f>ABS(C163)/$D$127</f>
        <v>8.0787665731459953E-3</v>
      </c>
      <c r="E163" s="119" t="s">
        <v>127</v>
      </c>
    </row>
    <row r="164" spans="1:5" x14ac:dyDescent="0.2">
      <c r="A164" s="121" t="s">
        <v>128</v>
      </c>
      <c r="B164" s="27" t="s">
        <v>129</v>
      </c>
      <c r="C164" s="74">
        <f>D103+D104</f>
        <v>271.45000000000005</v>
      </c>
      <c r="D164" s="117">
        <f t="shared" ref="D164:D172" si="44">C164/$D$127</f>
        <v>1.2676191828210871E-2</v>
      </c>
      <c r="E164" s="123"/>
    </row>
    <row r="165" spans="1:5" x14ac:dyDescent="0.2">
      <c r="A165" s="125"/>
      <c r="B165" s="27" t="s">
        <v>130</v>
      </c>
      <c r="C165" s="74">
        <f>D105+D106+D107</f>
        <v>2451.3200000000002</v>
      </c>
      <c r="D165" s="117">
        <f t="shared" si="44"/>
        <v>0.11447191951493781</v>
      </c>
      <c r="E165" s="119" t="s">
        <v>131</v>
      </c>
    </row>
    <row r="166" spans="1:5" x14ac:dyDescent="0.2">
      <c r="A166" s="125"/>
      <c r="B166" s="27" t="s">
        <v>83</v>
      </c>
      <c r="C166" s="74">
        <f>B108*C108</f>
        <v>282.72000000000003</v>
      </c>
      <c r="D166" s="117">
        <f t="shared" si="44"/>
        <v>1.3202479107282289E-2</v>
      </c>
      <c r="E166" s="119" t="s">
        <v>132</v>
      </c>
    </row>
    <row r="167" spans="1:5" x14ac:dyDescent="0.2">
      <c r="A167" s="126" t="s">
        <v>133</v>
      </c>
      <c r="B167" s="27" t="s">
        <v>85</v>
      </c>
      <c r="C167" s="74">
        <f>B109*C109</f>
        <v>123.2</v>
      </c>
      <c r="D167" s="117">
        <f t="shared" si="44"/>
        <v>5.7532025538241998E-3</v>
      </c>
      <c r="E167" s="119" t="s">
        <v>132</v>
      </c>
    </row>
    <row r="168" spans="1:5" x14ac:dyDescent="0.2">
      <c r="A168" s="129"/>
      <c r="B168" s="27" t="s">
        <v>86</v>
      </c>
      <c r="C168" s="74">
        <f>B110*C110</f>
        <v>244</v>
      </c>
      <c r="D168" s="117">
        <f t="shared" si="44"/>
        <v>1.1394329733223253E-2</v>
      </c>
      <c r="E168" s="119" t="s">
        <v>132</v>
      </c>
    </row>
    <row r="169" spans="1:5" x14ac:dyDescent="0.2">
      <c r="A169" s="126"/>
      <c r="B169" s="27" t="s">
        <v>96</v>
      </c>
      <c r="C169" s="74">
        <f>B111*C111</f>
        <v>30.88</v>
      </c>
      <c r="D169" s="117">
        <f t="shared" si="44"/>
        <v>1.4420364842702214E-3</v>
      </c>
      <c r="E169" s="119" t="s">
        <v>42</v>
      </c>
    </row>
    <row r="170" spans="1:5" x14ac:dyDescent="0.2">
      <c r="A170" s="131" t="s">
        <v>134</v>
      </c>
      <c r="B170" s="27" t="s">
        <v>106</v>
      </c>
      <c r="C170" s="74">
        <f>D112</f>
        <v>71.17</v>
      </c>
      <c r="D170" s="117">
        <f t="shared" si="44"/>
        <v>3.3235018324323726E-3</v>
      </c>
      <c r="E170" s="119" t="s">
        <v>42</v>
      </c>
    </row>
    <row r="171" spans="1:5" x14ac:dyDescent="0.2">
      <c r="A171" s="132"/>
      <c r="B171" s="27" t="s">
        <v>87</v>
      </c>
      <c r="C171" s="74">
        <f>D113</f>
        <v>119.19</v>
      </c>
      <c r="D171" s="117">
        <f t="shared" si="44"/>
        <v>5.5659432823888504E-3</v>
      </c>
      <c r="E171" s="119" t="s">
        <v>44</v>
      </c>
    </row>
    <row r="172" spans="1:5" x14ac:dyDescent="0.2">
      <c r="A172" s="132"/>
      <c r="B172" s="27" t="s">
        <v>135</v>
      </c>
      <c r="C172" s="74">
        <f>D116</f>
        <v>238.5</v>
      </c>
      <c r="D172" s="117">
        <f t="shared" si="44"/>
        <v>1.1137490333498958E-2</v>
      </c>
      <c r="E172" s="119" t="s">
        <v>44</v>
      </c>
    </row>
    <row r="173" spans="1:5" x14ac:dyDescent="0.2">
      <c r="A173" s="175" t="s">
        <v>146</v>
      </c>
      <c r="B173" s="27" t="s">
        <v>147</v>
      </c>
      <c r="C173" s="74">
        <f>B115</f>
        <v>320.16000000000003</v>
      </c>
      <c r="D173" s="117" t="s">
        <v>64</v>
      </c>
      <c r="E173" s="119" t="s">
        <v>148</v>
      </c>
    </row>
    <row r="174" spans="1:5" x14ac:dyDescent="0.2">
      <c r="A174" s="174"/>
      <c r="B174" s="77" t="s">
        <v>164</v>
      </c>
      <c r="C174" s="75">
        <f>B114</f>
        <v>924.25</v>
      </c>
      <c r="D174" s="128" t="s">
        <v>64</v>
      </c>
      <c r="E174" s="124" t="s">
        <v>166</v>
      </c>
    </row>
    <row r="175" spans="1:5" x14ac:dyDescent="0.2">
      <c r="A175" s="191"/>
      <c r="B175" s="33" t="s">
        <v>97</v>
      </c>
      <c r="C175" s="80">
        <f t="shared" ref="C175:C182" si="45">B117</f>
        <v>120.55</v>
      </c>
      <c r="D175" s="127" t="s">
        <v>64</v>
      </c>
      <c r="E175" s="122" t="s">
        <v>149</v>
      </c>
    </row>
    <row r="176" spans="1:5" x14ac:dyDescent="0.2">
      <c r="A176" s="176"/>
      <c r="B176" s="27" t="s">
        <v>99</v>
      </c>
      <c r="C176" s="74">
        <f t="shared" si="45"/>
        <v>48.75</v>
      </c>
      <c r="D176" s="117" t="s">
        <v>64</v>
      </c>
      <c r="E176" s="119" t="s">
        <v>149</v>
      </c>
    </row>
    <row r="177" spans="1:5" x14ac:dyDescent="0.2">
      <c r="A177" s="176"/>
      <c r="B177" s="27" t="s">
        <v>100</v>
      </c>
      <c r="C177" s="74">
        <f t="shared" si="45"/>
        <v>111.96</v>
      </c>
      <c r="D177" s="117" t="s">
        <v>64</v>
      </c>
      <c r="E177" s="119" t="s">
        <v>149</v>
      </c>
    </row>
    <row r="178" spans="1:5" x14ac:dyDescent="0.2">
      <c r="A178" s="176"/>
      <c r="B178" s="27" t="s">
        <v>101</v>
      </c>
      <c r="C178" s="74">
        <f t="shared" si="45"/>
        <v>59.7</v>
      </c>
      <c r="D178" s="117" t="s">
        <v>64</v>
      </c>
      <c r="E178" s="119" t="s">
        <v>149</v>
      </c>
    </row>
    <row r="179" spans="1:5" x14ac:dyDescent="0.2">
      <c r="A179" s="176"/>
      <c r="B179" s="27" t="s">
        <v>102</v>
      </c>
      <c r="C179" s="74">
        <f t="shared" si="45"/>
        <v>108.15</v>
      </c>
      <c r="D179" s="117" t="s">
        <v>64</v>
      </c>
      <c r="E179" s="119" t="s">
        <v>149</v>
      </c>
    </row>
    <row r="180" spans="1:5" x14ac:dyDescent="0.2">
      <c r="A180" s="176"/>
      <c r="B180" s="27" t="s">
        <v>103</v>
      </c>
      <c r="C180" s="74">
        <f t="shared" si="45"/>
        <v>82.01</v>
      </c>
      <c r="D180" s="117" t="s">
        <v>64</v>
      </c>
      <c r="E180" s="119" t="s">
        <v>149</v>
      </c>
    </row>
    <row r="181" spans="1:5" x14ac:dyDescent="0.2">
      <c r="A181" s="176"/>
      <c r="B181" s="27" t="s">
        <v>104</v>
      </c>
      <c r="C181" s="74">
        <f t="shared" si="45"/>
        <v>124.7</v>
      </c>
      <c r="D181" s="117" t="s">
        <v>64</v>
      </c>
      <c r="E181" s="119" t="s">
        <v>149</v>
      </c>
    </row>
    <row r="182" spans="1:5" x14ac:dyDescent="0.2">
      <c r="A182" s="176"/>
      <c r="B182" s="27" t="s">
        <v>105</v>
      </c>
      <c r="C182" s="74">
        <f t="shared" si="45"/>
        <v>46.68</v>
      </c>
      <c r="D182" s="117" t="s">
        <v>64</v>
      </c>
      <c r="E182" s="119" t="s">
        <v>149</v>
      </c>
    </row>
    <row r="183" spans="1:5" x14ac:dyDescent="0.2">
      <c r="A183" s="177" t="s">
        <v>150</v>
      </c>
      <c r="B183" s="178"/>
      <c r="C183" s="179">
        <f>SUM(C173:C182)</f>
        <v>1946.9100000000003</v>
      </c>
      <c r="D183" s="180" t="s">
        <v>64</v>
      </c>
      <c r="E183" s="181" t="s">
        <v>125</v>
      </c>
    </row>
    <row r="185" spans="1:5" x14ac:dyDescent="0.2">
      <c r="A185" s="82" t="s">
        <v>136</v>
      </c>
      <c r="B185" s="133" t="s">
        <v>171</v>
      </c>
      <c r="C185" s="86">
        <f>C161+C163</f>
        <v>17581.729999999996</v>
      </c>
      <c r="D185" s="135">
        <f>C185/$D$127</f>
        <v>0.82103290532993123</v>
      </c>
      <c r="E185" s="137"/>
    </row>
    <row r="186" spans="1:5" x14ac:dyDescent="0.2">
      <c r="A186" s="83"/>
      <c r="B186" s="133" t="s">
        <v>137</v>
      </c>
      <c r="C186" s="86">
        <f>SUM(C164:C166)</f>
        <v>3005.4900000000007</v>
      </c>
      <c r="D186" s="135">
        <f>C186/$D$127</f>
        <v>0.140350590450431</v>
      </c>
      <c r="E186" s="137"/>
    </row>
    <row r="187" spans="1:5" x14ac:dyDescent="0.2">
      <c r="A187" s="83"/>
      <c r="B187" s="133" t="s">
        <v>138</v>
      </c>
      <c r="C187" s="86">
        <f>SUM(C167:C169)</f>
        <v>398.08</v>
      </c>
      <c r="D187" s="135">
        <f>C187/$D$127</f>
        <v>1.8589568771317674E-2</v>
      </c>
      <c r="E187" s="137"/>
    </row>
    <row r="188" spans="1:5" x14ac:dyDescent="0.2">
      <c r="A188" s="83"/>
      <c r="B188" s="133" t="s">
        <v>139</v>
      </c>
      <c r="C188" s="86">
        <f>SUM(C170:C172)</f>
        <v>428.86</v>
      </c>
      <c r="D188" s="135">
        <f>C188/$D$127</f>
        <v>2.0026935448320182E-2</v>
      </c>
      <c r="E188" s="137"/>
    </row>
    <row r="189" spans="1:5" x14ac:dyDescent="0.2">
      <c r="A189" s="84"/>
      <c r="B189" s="134"/>
      <c r="C189" s="68"/>
      <c r="D189" s="136"/>
      <c r="E189" s="207"/>
    </row>
    <row r="190" spans="1:5" x14ac:dyDescent="0.2">
      <c r="A190" s="101"/>
      <c r="B190" s="206" t="s">
        <v>151</v>
      </c>
      <c r="C190" s="102">
        <f>C183</f>
        <v>1946.9100000000003</v>
      </c>
      <c r="D190" s="208" t="s">
        <v>64</v>
      </c>
      <c r="E190" s="186" t="s">
        <v>152</v>
      </c>
    </row>
    <row r="191" spans="1:5" ht="17" thickBot="1" x14ac:dyDescent="0.25">
      <c r="A191" s="182" t="s">
        <v>140</v>
      </c>
      <c r="B191" s="111"/>
      <c r="C191" s="183">
        <f>D127</f>
        <v>21414.159999999996</v>
      </c>
      <c r="D191" s="184">
        <f>SUM(D185:D188)</f>
        <v>1</v>
      </c>
      <c r="E191" s="185"/>
    </row>
  </sheetData>
  <mergeCells count="5">
    <mergeCell ref="A1:G1"/>
    <mergeCell ref="A2:G2"/>
    <mergeCell ref="A4:G4"/>
    <mergeCell ref="B5:G5"/>
    <mergeCell ref="B6:G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5352-4898-8F40-B6D3-FC9EAD11A047}">
  <dimension ref="A1:H74"/>
  <sheetViews>
    <sheetView tabSelected="1" workbookViewId="0">
      <selection sqref="A1:H1"/>
    </sheetView>
  </sheetViews>
  <sheetFormatPr baseColWidth="10" defaultRowHeight="15" x14ac:dyDescent="0.2"/>
  <cols>
    <col min="1" max="1" width="38.33203125" customWidth="1"/>
    <col min="2" max="3" width="16.6640625" customWidth="1"/>
    <col min="4" max="4" width="41.6640625" customWidth="1"/>
    <col min="5" max="6" width="12.5" customWidth="1"/>
    <col min="7" max="7" width="13.33203125" customWidth="1"/>
  </cols>
  <sheetData>
    <row r="1" spans="1:8" ht="18" x14ac:dyDescent="0.2">
      <c r="A1" s="230" t="s">
        <v>279</v>
      </c>
      <c r="B1" s="230"/>
      <c r="C1" s="230"/>
      <c r="D1" s="230"/>
      <c r="E1" s="230"/>
      <c r="F1" s="230"/>
      <c r="G1" s="230"/>
      <c r="H1" s="230"/>
    </row>
    <row r="3" spans="1:8" x14ac:dyDescent="0.2">
      <c r="A3" s="229" t="s">
        <v>217</v>
      </c>
      <c r="B3" s="229"/>
      <c r="C3" s="229"/>
      <c r="D3" s="229"/>
      <c r="E3" s="229"/>
      <c r="F3" s="229"/>
      <c r="G3" s="229"/>
      <c r="H3" s="229"/>
    </row>
    <row r="5" spans="1:8" x14ac:dyDescent="0.2">
      <c r="A5" s="232" t="s">
        <v>218</v>
      </c>
      <c r="B5" s="231"/>
      <c r="C5" s="231"/>
    </row>
    <row r="6" spans="1:8" x14ac:dyDescent="0.2">
      <c r="A6" s="218" t="s">
        <v>219</v>
      </c>
      <c r="B6" s="213">
        <v>1.5</v>
      </c>
      <c r="C6" s="214" t="s">
        <v>220</v>
      </c>
    </row>
    <row r="7" spans="1:8" x14ac:dyDescent="0.2">
      <c r="A7" s="218" t="s">
        <v>221</v>
      </c>
      <c r="B7" s="213">
        <v>2</v>
      </c>
      <c r="C7" s="214" t="s">
        <v>220</v>
      </c>
    </row>
    <row r="8" spans="1:8" x14ac:dyDescent="0.2">
      <c r="A8" s="218" t="s">
        <v>222</v>
      </c>
      <c r="B8" s="213">
        <v>3</v>
      </c>
      <c r="C8" s="214" t="s">
        <v>220</v>
      </c>
    </row>
    <row r="9" spans="1:8" x14ac:dyDescent="0.2">
      <c r="A9" s="218" t="s">
        <v>223</v>
      </c>
      <c r="B9" s="213">
        <v>5</v>
      </c>
      <c r="C9" s="214" t="s">
        <v>220</v>
      </c>
    </row>
    <row r="11" spans="1:8" x14ac:dyDescent="0.2">
      <c r="A11" s="232" t="s">
        <v>224</v>
      </c>
      <c r="B11" s="234" t="s">
        <v>225</v>
      </c>
      <c r="C11" s="234" t="s">
        <v>221</v>
      </c>
      <c r="D11" s="234" t="s">
        <v>222</v>
      </c>
      <c r="E11" s="234" t="s">
        <v>226</v>
      </c>
      <c r="F11" s="234" t="s">
        <v>227</v>
      </c>
      <c r="G11" s="234" t="s">
        <v>228</v>
      </c>
    </row>
    <row r="12" spans="1:8" x14ac:dyDescent="0.2">
      <c r="A12" s="222" t="s">
        <v>30</v>
      </c>
      <c r="B12" s="233">
        <f>'2.Program'!C9</f>
        <v>23</v>
      </c>
      <c r="C12" s="233">
        <f>SUM('2.Program'!C10:C13)</f>
        <v>16</v>
      </c>
      <c r="D12" s="233">
        <f>SUM('2.Program'!C14:C16)</f>
        <v>5</v>
      </c>
      <c r="E12" s="233">
        <f>'2.Program'!C17</f>
        <v>1</v>
      </c>
      <c r="F12" s="214">
        <f>SUM(B12:E12)</f>
        <v>45</v>
      </c>
      <c r="G12" s="235">
        <f>B12*$B$6+C12*$B$7+D12*$B$8+E12*$B$9</f>
        <v>86.5</v>
      </c>
    </row>
    <row r="13" spans="1:8" x14ac:dyDescent="0.2">
      <c r="A13" s="222" t="s">
        <v>32</v>
      </c>
      <c r="B13" s="233">
        <f>'2.Program'!C19</f>
        <v>23</v>
      </c>
      <c r="C13" s="233">
        <f>SUM('2.Program'!C20:C23)</f>
        <v>14</v>
      </c>
      <c r="D13" s="233">
        <f>SUM('2.Program'!C24:C27)</f>
        <v>7</v>
      </c>
      <c r="E13" s="233">
        <f>'2.Program'!C28</f>
        <v>1</v>
      </c>
      <c r="F13" s="214">
        <f>SUM(B13:E13)</f>
        <v>45</v>
      </c>
      <c r="G13" s="235">
        <f>B13*$B$6+C13*$B$7+D13*$B$8+E13*$B$9</f>
        <v>88.5</v>
      </c>
    </row>
    <row r="14" spans="1:8" x14ac:dyDescent="0.2">
      <c r="A14" s="222" t="s">
        <v>34</v>
      </c>
      <c r="B14" s="233">
        <f>'2.Program'!C30</f>
        <v>23</v>
      </c>
      <c r="C14" s="233">
        <f>SUM('2.Program'!C31:C34)</f>
        <v>14</v>
      </c>
      <c r="D14" s="233">
        <f>SUM('2.Program'!C35:C38)</f>
        <v>7</v>
      </c>
      <c r="E14" s="233">
        <f>'2.Program'!C39</f>
        <v>1</v>
      </c>
      <c r="F14" s="214">
        <f>SUM(B14:E14)</f>
        <v>45</v>
      </c>
      <c r="G14" s="235">
        <f>B14*$B$6+C14*$B$7+D14*$B$8+E14*$B$9</f>
        <v>88.5</v>
      </c>
    </row>
    <row r="15" spans="1:8" x14ac:dyDescent="0.2">
      <c r="A15" s="222" t="s">
        <v>36</v>
      </c>
      <c r="B15" s="233">
        <f>'2.Program'!C41</f>
        <v>23</v>
      </c>
      <c r="C15" s="233">
        <f>SUM('2.Program'!C42:C45)</f>
        <v>14</v>
      </c>
      <c r="D15" s="233">
        <f>SUM('2.Program'!C46:C49)</f>
        <v>7</v>
      </c>
      <c r="E15" s="233">
        <f>'2.Program'!C50</f>
        <v>1</v>
      </c>
      <c r="F15" s="214">
        <f>SUM(B15:E15)</f>
        <v>45</v>
      </c>
      <c r="G15" s="235">
        <f>B15*$B$6+C15*$B$7+D15*$B$8+E15*$B$9</f>
        <v>88.5</v>
      </c>
    </row>
    <row r="16" spans="1:8" x14ac:dyDescent="0.2">
      <c r="A16" s="222" t="s">
        <v>38</v>
      </c>
      <c r="B16" s="233">
        <f>'2.Program'!C52</f>
        <v>23</v>
      </c>
      <c r="C16" s="233">
        <f>SUM('2.Program'!C53:C56)</f>
        <v>14</v>
      </c>
      <c r="D16" s="233">
        <f>SUM('2.Program'!C57:C60)</f>
        <v>7</v>
      </c>
      <c r="E16" s="233">
        <f>'2.Program'!C61</f>
        <v>1</v>
      </c>
      <c r="F16" s="214">
        <f>SUM(B16:E16)</f>
        <v>45</v>
      </c>
      <c r="G16" s="235">
        <f>B16*$B$6+C16*$B$7+D16*$B$8+E16*$B$9</f>
        <v>88.5</v>
      </c>
    </row>
    <row r="17" spans="1:8" x14ac:dyDescent="0.2">
      <c r="A17" s="222" t="s">
        <v>40</v>
      </c>
      <c r="B17" s="233">
        <f>'2.Program'!C63</f>
        <v>23</v>
      </c>
      <c r="C17" s="233">
        <f>SUM('2.Program'!C64:C67)</f>
        <v>14</v>
      </c>
      <c r="D17" s="233">
        <f>SUM('2.Program'!C68:C71)</f>
        <v>7</v>
      </c>
      <c r="E17" s="233">
        <f>'2.Program'!C72</f>
        <v>1</v>
      </c>
      <c r="F17" s="214">
        <f>SUM(B17:E17)</f>
        <v>45</v>
      </c>
      <c r="G17" s="235">
        <f>B17*$B$6+C17*$B$7+D17*$B$8+E17*$B$9</f>
        <v>88.5</v>
      </c>
    </row>
    <row r="18" spans="1:8" x14ac:dyDescent="0.2">
      <c r="A18" s="222" t="s">
        <v>42</v>
      </c>
      <c r="B18" s="233">
        <f>'2.Program'!C74</f>
        <v>22</v>
      </c>
      <c r="C18" s="233">
        <f>SUM('2.Program'!C75:C78)</f>
        <v>14</v>
      </c>
      <c r="D18" s="233">
        <f>SUM('2.Program'!C79:C82)</f>
        <v>7</v>
      </c>
      <c r="E18" s="233">
        <f>'2.Program'!C83</f>
        <v>1</v>
      </c>
      <c r="F18" s="214">
        <f>SUM(B18:E18)</f>
        <v>44</v>
      </c>
      <c r="G18" s="235">
        <f>B18*$B$6+C18*$B$7+D18*$B$8+E18*$B$9</f>
        <v>87</v>
      </c>
    </row>
    <row r="19" spans="1:8" ht="16" thickBot="1" x14ac:dyDescent="0.25">
      <c r="A19" s="242" t="s">
        <v>44</v>
      </c>
      <c r="B19" s="243">
        <f>'2.Program'!C85</f>
        <v>15</v>
      </c>
      <c r="C19" s="243">
        <f>SUM('2.Program'!C86:C89)</f>
        <v>9</v>
      </c>
      <c r="D19" s="243">
        <f>SUM('2.Program'!C90:C93)</f>
        <v>7</v>
      </c>
      <c r="E19" s="243">
        <f>'2.Program'!C94</f>
        <v>1</v>
      </c>
      <c r="F19" s="215">
        <f>SUM(B19:E19)</f>
        <v>32</v>
      </c>
      <c r="G19" s="244">
        <f>B19*$B$6+C19*$B$7+D19*$B$8+E19*$B$9</f>
        <v>66.5</v>
      </c>
    </row>
    <row r="20" spans="1:8" ht="16" thickBot="1" x14ac:dyDescent="0.25">
      <c r="A20" s="245" t="s">
        <v>229</v>
      </c>
      <c r="B20" s="246">
        <f>SUM(B12:B19)</f>
        <v>175</v>
      </c>
      <c r="C20" s="246">
        <f>SUM(C12:C19)</f>
        <v>109</v>
      </c>
      <c r="D20" s="246">
        <f>SUM(D12:D19)</f>
        <v>54</v>
      </c>
      <c r="E20" s="246">
        <f>SUM(E12:E19)</f>
        <v>8</v>
      </c>
      <c r="F20" s="246">
        <f>SUM(F12:F19)</f>
        <v>346</v>
      </c>
      <c r="G20" s="247">
        <f>SUM(G12:G19)</f>
        <v>682.5</v>
      </c>
    </row>
    <row r="21" spans="1:8" ht="16" thickTop="1" x14ac:dyDescent="0.2"/>
    <row r="22" spans="1:8" x14ac:dyDescent="0.2">
      <c r="A22" s="229" t="s">
        <v>230</v>
      </c>
      <c r="B22" s="229"/>
      <c r="C22" s="229"/>
      <c r="D22" s="229"/>
      <c r="E22" s="229"/>
      <c r="F22" s="229"/>
      <c r="G22" s="229"/>
      <c r="H22" s="229"/>
    </row>
    <row r="24" spans="1:8" x14ac:dyDescent="0.2">
      <c r="A24" s="232" t="s">
        <v>172</v>
      </c>
      <c r="B24" s="234" t="s">
        <v>231</v>
      </c>
      <c r="C24" s="234" t="s">
        <v>232</v>
      </c>
      <c r="D24" s="232" t="s">
        <v>11</v>
      </c>
    </row>
    <row r="25" spans="1:8" x14ac:dyDescent="0.2">
      <c r="A25" s="218" t="s">
        <v>233</v>
      </c>
      <c r="B25" s="235">
        <f>G20</f>
        <v>682.5</v>
      </c>
      <c r="C25" s="235">
        <f>G20</f>
        <v>682.5</v>
      </c>
      <c r="D25" s="218" t="s">
        <v>234</v>
      </c>
    </row>
    <row r="26" spans="1:8" x14ac:dyDescent="0.2">
      <c r="A26" s="218" t="s">
        <v>235</v>
      </c>
      <c r="B26" s="236">
        <v>0.05</v>
      </c>
      <c r="C26" s="236">
        <v>7.0000000000000007E-2</v>
      </c>
      <c r="D26" s="218" t="s">
        <v>236</v>
      </c>
    </row>
    <row r="27" spans="1:8" x14ac:dyDescent="0.2">
      <c r="A27" s="238" t="s">
        <v>237</v>
      </c>
      <c r="B27" s="237">
        <f>ROUNDUP(B25*B26,0)</f>
        <v>35</v>
      </c>
      <c r="C27" s="237">
        <f>ROUNDUP(C25*C26,0)</f>
        <v>48</v>
      </c>
      <c r="D27" s="238" t="s">
        <v>238</v>
      </c>
    </row>
    <row r="29" spans="1:8" x14ac:dyDescent="0.2">
      <c r="A29" s="229" t="s">
        <v>239</v>
      </c>
      <c r="B29" s="229"/>
      <c r="C29" s="229"/>
      <c r="D29" s="229"/>
      <c r="E29" s="229"/>
      <c r="F29" s="229"/>
      <c r="G29" s="229"/>
      <c r="H29" s="229"/>
    </row>
    <row r="31" spans="1:8" x14ac:dyDescent="0.2">
      <c r="A31" s="234" t="s">
        <v>240</v>
      </c>
      <c r="B31" s="234" t="s">
        <v>241</v>
      </c>
      <c r="C31" s="234" t="s">
        <v>242</v>
      </c>
    </row>
    <row r="32" spans="1:8" x14ac:dyDescent="0.2">
      <c r="A32" s="214">
        <v>1000</v>
      </c>
      <c r="B32" s="214">
        <f>ROUNDDOWN(A32/75,0)</f>
        <v>13</v>
      </c>
      <c r="C32" s="214">
        <f>ROUNDDOWN(B32*0.8,0)</f>
        <v>10</v>
      </c>
    </row>
    <row r="33" spans="1:8" x14ac:dyDescent="0.2">
      <c r="A33" s="214">
        <v>1275</v>
      </c>
      <c r="B33" s="214">
        <f>ROUNDDOWN(A33/75,0)</f>
        <v>17</v>
      </c>
      <c r="C33" s="214">
        <f>ROUNDDOWN(B33*0.8,0)</f>
        <v>13</v>
      </c>
    </row>
    <row r="34" spans="1:8" x14ac:dyDescent="0.2">
      <c r="A34" s="214">
        <v>1600</v>
      </c>
      <c r="B34" s="214">
        <f>ROUNDDOWN(A34/75,0)</f>
        <v>21</v>
      </c>
      <c r="C34" s="214">
        <f>ROUNDDOWN(B34*0.8,0)</f>
        <v>16</v>
      </c>
    </row>
    <row r="36" spans="1:8" x14ac:dyDescent="0.2">
      <c r="A36" s="218" t="s">
        <v>243</v>
      </c>
      <c r="B36" s="239">
        <v>1275</v>
      </c>
      <c r="C36" s="214" t="s">
        <v>203</v>
      </c>
    </row>
    <row r="37" spans="1:8" x14ac:dyDescent="0.2">
      <c r="A37" s="218" t="s">
        <v>244</v>
      </c>
      <c r="B37" s="214">
        <f>ROUNDDOWN(ROUNDDOWN(B36/75,0)*0.8,0)</f>
        <v>13</v>
      </c>
      <c r="C37" s="214" t="s">
        <v>245</v>
      </c>
    </row>
    <row r="39" spans="1:8" x14ac:dyDescent="0.2">
      <c r="A39" s="229" t="s">
        <v>246</v>
      </c>
      <c r="B39" s="229"/>
      <c r="C39" s="229"/>
      <c r="D39" s="229"/>
      <c r="E39" s="229"/>
      <c r="F39" s="229"/>
      <c r="G39" s="229"/>
      <c r="H39" s="229"/>
    </row>
    <row r="41" spans="1:8" x14ac:dyDescent="0.2">
      <c r="A41" s="232" t="s">
        <v>172</v>
      </c>
      <c r="B41" s="234" t="s">
        <v>176</v>
      </c>
      <c r="C41" s="234" t="s">
        <v>177</v>
      </c>
      <c r="D41" s="232" t="s">
        <v>11</v>
      </c>
    </row>
    <row r="42" spans="1:8" x14ac:dyDescent="0.2">
      <c r="A42" s="218" t="s">
        <v>247</v>
      </c>
      <c r="B42" s="213">
        <v>8</v>
      </c>
      <c r="C42" s="214" t="s">
        <v>248</v>
      </c>
      <c r="D42" s="218" t="s">
        <v>249</v>
      </c>
    </row>
    <row r="43" spans="1:8" x14ac:dyDescent="0.2">
      <c r="A43" s="218" t="s">
        <v>250</v>
      </c>
      <c r="B43" s="213">
        <v>3.6</v>
      </c>
      <c r="C43" s="214" t="s">
        <v>191</v>
      </c>
      <c r="D43" s="218" t="s">
        <v>251</v>
      </c>
    </row>
    <row r="44" spans="1:8" x14ac:dyDescent="0.2">
      <c r="A44" s="218" t="s">
        <v>252</v>
      </c>
      <c r="B44" s="235">
        <f>B42*B43</f>
        <v>28.8</v>
      </c>
      <c r="C44" s="214" t="s">
        <v>191</v>
      </c>
      <c r="D44" s="218" t="s">
        <v>253</v>
      </c>
    </row>
    <row r="45" spans="1:8" x14ac:dyDescent="0.2">
      <c r="A45" s="218" t="s">
        <v>254</v>
      </c>
      <c r="B45" s="213">
        <v>1.75</v>
      </c>
      <c r="C45" s="214" t="s">
        <v>255</v>
      </c>
      <c r="D45" s="218" t="s">
        <v>256</v>
      </c>
    </row>
    <row r="46" spans="1:8" x14ac:dyDescent="0.2">
      <c r="A46" s="218" t="s">
        <v>257</v>
      </c>
      <c r="B46" s="235">
        <f>ROUND(SQRT(B42),1)</f>
        <v>2.8</v>
      </c>
      <c r="C46" s="214" t="s">
        <v>258</v>
      </c>
      <c r="D46" s="218" t="s">
        <v>259</v>
      </c>
    </row>
    <row r="47" spans="1:8" x14ac:dyDescent="0.2">
      <c r="A47" s="218" t="s">
        <v>260</v>
      </c>
      <c r="B47" s="213">
        <v>8</v>
      </c>
      <c r="C47" s="214" t="s">
        <v>261</v>
      </c>
      <c r="D47" s="218" t="s">
        <v>262</v>
      </c>
    </row>
    <row r="48" spans="1:8" x14ac:dyDescent="0.2">
      <c r="A48" s="238" t="s">
        <v>263</v>
      </c>
      <c r="B48" s="240">
        <f>ROUND(2*B44/B45+B46*B47,1)</f>
        <v>55.3</v>
      </c>
      <c r="C48" s="241" t="s">
        <v>261</v>
      </c>
      <c r="D48" s="238" t="s">
        <v>264</v>
      </c>
    </row>
    <row r="50" spans="1:8" x14ac:dyDescent="0.2">
      <c r="A50" s="229" t="s">
        <v>265</v>
      </c>
      <c r="B50" s="229"/>
      <c r="C50" s="229"/>
      <c r="D50" s="229"/>
      <c r="E50" s="229"/>
      <c r="F50" s="229"/>
      <c r="G50" s="229"/>
      <c r="H50" s="229"/>
    </row>
    <row r="52" spans="1:8" x14ac:dyDescent="0.2">
      <c r="A52" s="232" t="s">
        <v>172</v>
      </c>
      <c r="B52" s="234" t="s">
        <v>176</v>
      </c>
      <c r="C52" s="234" t="s">
        <v>177</v>
      </c>
      <c r="D52" s="232" t="s">
        <v>11</v>
      </c>
    </row>
    <row r="53" spans="1:8" x14ac:dyDescent="0.2">
      <c r="A53" s="218" t="s">
        <v>266</v>
      </c>
      <c r="B53" s="235">
        <f>ROUNDDOWN(300/B48,1)</f>
        <v>5.4</v>
      </c>
      <c r="C53" s="214" t="s">
        <v>267</v>
      </c>
      <c r="D53" s="218" t="s">
        <v>268</v>
      </c>
    </row>
    <row r="54" spans="1:8" x14ac:dyDescent="0.2">
      <c r="A54" s="218" t="s">
        <v>244</v>
      </c>
      <c r="B54" s="214">
        <f>B37</f>
        <v>13</v>
      </c>
      <c r="C54" s="214" t="s">
        <v>245</v>
      </c>
      <c r="D54" s="218" t="s">
        <v>269</v>
      </c>
    </row>
    <row r="55" spans="1:8" x14ac:dyDescent="0.2">
      <c r="A55" s="238" t="s">
        <v>270</v>
      </c>
      <c r="B55" s="237">
        <f>ROUNDDOWN(B53*B54,0)</f>
        <v>70</v>
      </c>
      <c r="C55" s="241" t="s">
        <v>245</v>
      </c>
      <c r="D55" s="238" t="s">
        <v>271</v>
      </c>
    </row>
    <row r="57" spans="1:8" x14ac:dyDescent="0.2">
      <c r="A57" s="229" t="s">
        <v>280</v>
      </c>
      <c r="B57" s="229"/>
      <c r="C57" s="229"/>
      <c r="D57" s="229"/>
      <c r="E57" s="229"/>
      <c r="F57" s="229"/>
      <c r="G57" s="229"/>
      <c r="H57" s="229"/>
    </row>
    <row r="59" spans="1:8" x14ac:dyDescent="0.2">
      <c r="A59" s="232" t="s">
        <v>272</v>
      </c>
      <c r="B59" s="234" t="s">
        <v>273</v>
      </c>
      <c r="C59" s="234" t="s">
        <v>274</v>
      </c>
      <c r="D59" s="232" t="s">
        <v>11</v>
      </c>
    </row>
    <row r="60" spans="1:8" x14ac:dyDescent="0.2">
      <c r="A60" s="218" t="s">
        <v>281</v>
      </c>
      <c r="B60" s="214">
        <f>B27</f>
        <v>35</v>
      </c>
      <c r="C60" s="214">
        <f>ROUNDUP(B60/B55,0)</f>
        <v>1</v>
      </c>
      <c r="D60" s="218" t="s">
        <v>282</v>
      </c>
    </row>
    <row r="61" spans="1:8" x14ac:dyDescent="0.2">
      <c r="A61" s="218" t="s">
        <v>283</v>
      </c>
      <c r="B61" s="214">
        <f>C27</f>
        <v>48</v>
      </c>
      <c r="C61" s="214">
        <f>ROUNDUP(B61/B55,0)</f>
        <v>1</v>
      </c>
      <c r="D61" s="218" t="s">
        <v>284</v>
      </c>
    </row>
    <row r="62" spans="1:8" ht="16" thickBot="1" x14ac:dyDescent="0.25"/>
    <row r="63" spans="1:8" ht="19" thickBot="1" x14ac:dyDescent="0.25">
      <c r="A63" s="223" t="s">
        <v>285</v>
      </c>
      <c r="B63" s="249">
        <f>MAX(C60,C61)</f>
        <v>1</v>
      </c>
      <c r="C63" s="249"/>
      <c r="D63" s="250" t="str">
        <f>"CIBSE "&amp;IF(C61&gt;=C60,"premium 7%","standard 5%")&amp;" governs"</f>
        <v>CIBSE premium 7% governs</v>
      </c>
    </row>
    <row r="64" spans="1:8" ht="16" thickTop="1" x14ac:dyDescent="0.2"/>
    <row r="65" spans="1:8" x14ac:dyDescent="0.2">
      <c r="A65" s="229" t="s">
        <v>286</v>
      </c>
      <c r="B65" s="229"/>
      <c r="C65" s="229"/>
      <c r="D65" s="229"/>
      <c r="E65" s="229"/>
      <c r="F65" s="229"/>
      <c r="G65" s="229"/>
      <c r="H65" s="229"/>
    </row>
    <row r="67" spans="1:8" x14ac:dyDescent="0.2">
      <c r="A67" s="232" t="s">
        <v>275</v>
      </c>
      <c r="B67" s="234" t="s">
        <v>83</v>
      </c>
      <c r="C67" s="231"/>
      <c r="D67" s="232" t="s">
        <v>11</v>
      </c>
    </row>
    <row r="68" spans="1:8" x14ac:dyDescent="0.2">
      <c r="A68" s="218" t="s">
        <v>287</v>
      </c>
      <c r="B68" s="214">
        <f>ROUNDUP(F20/75,0)</f>
        <v>5</v>
      </c>
      <c r="C68" s="214" t="s">
        <v>276</v>
      </c>
      <c r="D68" s="218" t="str">
        <f>F20&amp;" units ÷ 75 avg"</f>
        <v>346 units ÷ 75 avg</v>
      </c>
    </row>
    <row r="69" spans="1:8" x14ac:dyDescent="0.2">
      <c r="A69" s="218" t="s">
        <v>288</v>
      </c>
      <c r="B69" s="213">
        <v>3</v>
      </c>
      <c r="C69" s="214" t="s">
        <v>276</v>
      </c>
      <c r="D69" s="218" t="s">
        <v>289</v>
      </c>
    </row>
    <row r="70" spans="1:8" x14ac:dyDescent="0.2">
      <c r="A70" s="218" t="s">
        <v>277</v>
      </c>
      <c r="B70" s="214">
        <v>5</v>
      </c>
      <c r="C70" s="214" t="s">
        <v>276</v>
      </c>
      <c r="D70" s="218" t="s">
        <v>290</v>
      </c>
    </row>
    <row r="71" spans="1:8" ht="16" thickBot="1" x14ac:dyDescent="0.25"/>
    <row r="72" spans="1:8" ht="19" thickBot="1" x14ac:dyDescent="0.25">
      <c r="A72" s="248" t="s">
        <v>278</v>
      </c>
      <c r="B72" s="251">
        <f>IF(B63&gt;=B70,B63,B70)</f>
        <v>5</v>
      </c>
      <c r="C72" s="252" t="s">
        <v>276</v>
      </c>
      <c r="D72" s="253"/>
    </row>
    <row r="73" spans="1:8" ht="16" thickTop="1" x14ac:dyDescent="0.2"/>
    <row r="74" spans="1:8" ht="18" customHeight="1" x14ac:dyDescent="0.2"/>
  </sheetData>
  <mergeCells count="9">
    <mergeCell ref="A57:H57"/>
    <mergeCell ref="A65:H65"/>
    <mergeCell ref="B63:C63"/>
    <mergeCell ref="A1:H1"/>
    <mergeCell ref="A3:H3"/>
    <mergeCell ref="A22:H22"/>
    <mergeCell ref="A29:H29"/>
    <mergeCell ref="A39:H39"/>
    <mergeCell ref="A50:H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AC80-4B29-944E-9027-6C8750F5618E}">
  <dimension ref="A1:N25"/>
  <sheetViews>
    <sheetView workbookViewId="0">
      <selection activeCell="B27" sqref="B27"/>
    </sheetView>
  </sheetViews>
  <sheetFormatPr baseColWidth="10" defaultRowHeight="15" x14ac:dyDescent="0.2"/>
  <cols>
    <col min="1" max="1" width="38.33203125" customWidth="1"/>
    <col min="2" max="2" width="16.6640625" customWidth="1"/>
    <col min="3" max="3" width="18.33203125" customWidth="1"/>
    <col min="4" max="4" width="41.6640625" customWidth="1"/>
    <col min="5" max="5" width="10.1640625" hidden="1" customWidth="1"/>
    <col min="6" max="6" width="10.5" hidden="1" customWidth="1"/>
    <col min="7" max="7" width="9.5" hidden="1" customWidth="1"/>
    <col min="8" max="8" width="10.1640625" hidden="1" customWidth="1"/>
    <col min="9" max="12" width="8" hidden="1" customWidth="1"/>
    <col min="13" max="13" width="10" hidden="1" customWidth="1"/>
    <col min="14" max="14" width="12" hidden="1" customWidth="1"/>
  </cols>
  <sheetData>
    <row r="1" spans="1:5" ht="18" x14ac:dyDescent="0.2">
      <c r="A1" s="228" t="s">
        <v>174</v>
      </c>
      <c r="B1" s="228"/>
      <c r="C1" s="228"/>
      <c r="D1" s="228"/>
      <c r="E1" s="228"/>
    </row>
    <row r="3" spans="1:5" x14ac:dyDescent="0.2">
      <c r="A3" s="229" t="s">
        <v>175</v>
      </c>
      <c r="B3" s="229"/>
      <c r="C3" s="229"/>
      <c r="D3" s="229"/>
      <c r="E3" s="229"/>
    </row>
    <row r="4" spans="1:5" x14ac:dyDescent="0.2">
      <c r="A4" s="217" t="s">
        <v>172</v>
      </c>
      <c r="B4" s="216" t="s">
        <v>176</v>
      </c>
      <c r="C4" s="216" t="s">
        <v>177</v>
      </c>
      <c r="D4" s="217" t="s">
        <v>11</v>
      </c>
    </row>
    <row r="5" spans="1:5" x14ac:dyDescent="0.2">
      <c r="A5" s="218" t="s">
        <v>178</v>
      </c>
      <c r="B5" s="213">
        <v>12</v>
      </c>
      <c r="C5" s="214" t="s">
        <v>179</v>
      </c>
      <c r="D5" s="218" t="s">
        <v>180</v>
      </c>
    </row>
    <row r="6" spans="1:5" x14ac:dyDescent="0.2">
      <c r="A6" s="218" t="s">
        <v>181</v>
      </c>
      <c r="B6" s="213">
        <v>2</v>
      </c>
      <c r="C6" s="214" t="s">
        <v>182</v>
      </c>
      <c r="D6" s="218" t="s">
        <v>183</v>
      </c>
    </row>
    <row r="7" spans="1:5" x14ac:dyDescent="0.2">
      <c r="A7" s="218" t="s">
        <v>184</v>
      </c>
      <c r="B7" s="213">
        <v>150</v>
      </c>
      <c r="C7" s="214" t="s">
        <v>185</v>
      </c>
      <c r="D7" s="218" t="s">
        <v>186</v>
      </c>
    </row>
    <row r="8" spans="1:5" x14ac:dyDescent="0.2">
      <c r="A8" s="218" t="s">
        <v>187</v>
      </c>
      <c r="B8" s="213">
        <v>2.5</v>
      </c>
      <c r="C8" s="214" t="s">
        <v>188</v>
      </c>
      <c r="D8" s="218" t="s">
        <v>189</v>
      </c>
    </row>
    <row r="9" spans="1:5" x14ac:dyDescent="0.2">
      <c r="A9" s="218" t="s">
        <v>190</v>
      </c>
      <c r="B9" s="213">
        <v>1.37</v>
      </c>
      <c r="C9" s="214" t="s">
        <v>191</v>
      </c>
      <c r="D9" s="218"/>
    </row>
    <row r="10" spans="1:5" x14ac:dyDescent="0.2">
      <c r="A10" s="218" t="s">
        <v>192</v>
      </c>
      <c r="B10" s="213">
        <v>2.04</v>
      </c>
      <c r="C10" s="214" t="s">
        <v>191</v>
      </c>
      <c r="D10" s="218"/>
    </row>
    <row r="11" spans="1:5" x14ac:dyDescent="0.2">
      <c r="A11" s="218" t="s">
        <v>193</v>
      </c>
      <c r="B11" s="213">
        <v>0.15</v>
      </c>
      <c r="C11" s="214" t="s">
        <v>191</v>
      </c>
      <c r="D11" s="218"/>
    </row>
    <row r="12" spans="1:5" x14ac:dyDescent="0.2">
      <c r="A12" s="218" t="s">
        <v>194</v>
      </c>
      <c r="B12" s="213">
        <v>0.6</v>
      </c>
      <c r="C12" s="214" t="s">
        <v>191</v>
      </c>
      <c r="D12" s="218" t="s">
        <v>195</v>
      </c>
    </row>
    <row r="14" spans="1:5" x14ac:dyDescent="0.2">
      <c r="A14" s="229" t="s">
        <v>196</v>
      </c>
      <c r="B14" s="229"/>
      <c r="C14" s="229"/>
      <c r="D14" s="229"/>
      <c r="E14" s="229"/>
    </row>
    <row r="15" spans="1:5" x14ac:dyDescent="0.2">
      <c r="A15" s="217" t="s">
        <v>172</v>
      </c>
      <c r="B15" s="216" t="s">
        <v>176</v>
      </c>
      <c r="C15" s="216" t="s">
        <v>177</v>
      </c>
      <c r="D15" s="217" t="s">
        <v>197</v>
      </c>
    </row>
    <row r="16" spans="1:5" x14ac:dyDescent="0.2">
      <c r="A16" s="222" t="s">
        <v>215</v>
      </c>
      <c r="B16" s="219">
        <f>'2.Program'!I99</f>
        <v>17754.729999999996</v>
      </c>
      <c r="C16" s="214" t="s">
        <v>198</v>
      </c>
      <c r="D16" s="218" t="s">
        <v>216</v>
      </c>
    </row>
    <row r="17" spans="1:4" x14ac:dyDescent="0.2">
      <c r="A17" s="218" t="s">
        <v>199</v>
      </c>
      <c r="B17" s="220">
        <f>ROUND(B16*B5/100,2)</f>
        <v>2130.5700000000002</v>
      </c>
      <c r="C17" s="214" t="s">
        <v>200</v>
      </c>
      <c r="D17" s="218" t="s">
        <v>201</v>
      </c>
    </row>
    <row r="18" spans="1:4" x14ac:dyDescent="0.2">
      <c r="A18" s="218" t="s">
        <v>202</v>
      </c>
      <c r="B18" s="220">
        <f>ROUND(B17*B6,2)</f>
        <v>4261.1400000000003</v>
      </c>
      <c r="C18" s="214" t="s">
        <v>203</v>
      </c>
      <c r="D18" s="218" t="s">
        <v>204</v>
      </c>
    </row>
    <row r="19" spans="1:4" x14ac:dyDescent="0.2">
      <c r="A19" s="218" t="s">
        <v>205</v>
      </c>
      <c r="B19" s="220">
        <f>ROUND(B18/B7,2)</f>
        <v>28.41</v>
      </c>
      <c r="C19" s="214" t="s">
        <v>188</v>
      </c>
      <c r="D19" s="218" t="s">
        <v>206</v>
      </c>
    </row>
    <row r="20" spans="1:4" x14ac:dyDescent="0.2">
      <c r="A20" s="218" t="s">
        <v>173</v>
      </c>
      <c r="B20" s="221">
        <f>IF(B19=0,0,ROUNDUP(B19/B8,0))</f>
        <v>12</v>
      </c>
      <c r="C20" s="214" t="s">
        <v>207</v>
      </c>
      <c r="D20" s="218" t="s">
        <v>208</v>
      </c>
    </row>
    <row r="21" spans="1:4" x14ac:dyDescent="0.2">
      <c r="A21" s="218" t="s">
        <v>209</v>
      </c>
      <c r="B21" s="220">
        <f>IF(B20=0,0,ROUND(B20*B9+(B20+1)*B11,2))</f>
        <v>18.39</v>
      </c>
      <c r="C21" s="214" t="s">
        <v>191</v>
      </c>
      <c r="D21" s="218" t="s">
        <v>210</v>
      </c>
    </row>
    <row r="22" spans="1:4" x14ac:dyDescent="0.2">
      <c r="A22" s="218" t="s">
        <v>211</v>
      </c>
      <c r="B22" s="220">
        <f>ROUND(B10+B12,2)</f>
        <v>2.64</v>
      </c>
      <c r="C22" s="214" t="s">
        <v>191</v>
      </c>
      <c r="D22" s="218" t="s">
        <v>212</v>
      </c>
    </row>
    <row r="23" spans="1:4" ht="16" thickBot="1" x14ac:dyDescent="0.25"/>
    <row r="24" spans="1:4" ht="16" thickBot="1" x14ac:dyDescent="0.25">
      <c r="A24" s="224" t="s">
        <v>213</v>
      </c>
      <c r="B24" s="225">
        <f>ROUND(B21*B22,2)</f>
        <v>48.55</v>
      </c>
      <c r="C24" s="226" t="s">
        <v>198</v>
      </c>
      <c r="D24" s="227" t="s">
        <v>214</v>
      </c>
    </row>
    <row r="25" spans="1:4" ht="16" thickTop="1" x14ac:dyDescent="0.2"/>
  </sheetData>
  <mergeCells count="3">
    <mergeCell ref="A1:E1"/>
    <mergeCell ref="A3:E3"/>
    <mergeCell ref="A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3CB0-84D3-C746-952D-8428B9A0FC16}">
  <dimension ref="A1:D5"/>
  <sheetViews>
    <sheetView workbookViewId="0">
      <selection activeCell="C31" sqref="C31"/>
    </sheetView>
  </sheetViews>
  <sheetFormatPr baseColWidth="10" defaultRowHeight="15" x14ac:dyDescent="0.2"/>
  <cols>
    <col min="1" max="1" width="5" customWidth="1"/>
    <col min="2" max="2" width="20" customWidth="1"/>
    <col min="3" max="3" width="58.33203125" customWidth="1"/>
    <col min="4" max="4" width="51.83203125" customWidth="1"/>
  </cols>
  <sheetData>
    <row r="1" spans="1:4" ht="18" x14ac:dyDescent="0.2">
      <c r="A1" s="187" t="s">
        <v>153</v>
      </c>
      <c r="B1" s="51"/>
      <c r="C1" s="51"/>
      <c r="D1" s="51"/>
    </row>
    <row r="3" spans="1:4" x14ac:dyDescent="0.2">
      <c r="A3" s="16" t="s">
        <v>154</v>
      </c>
      <c r="B3" s="16" t="s">
        <v>155</v>
      </c>
      <c r="C3" s="16" t="s">
        <v>156</v>
      </c>
      <c r="D3" s="16" t="s">
        <v>157</v>
      </c>
    </row>
    <row r="4" spans="1:4" ht="30" x14ac:dyDescent="0.2">
      <c r="A4" s="188">
        <v>1</v>
      </c>
      <c r="B4" s="189" t="s">
        <v>158</v>
      </c>
      <c r="C4" s="190" t="s">
        <v>159</v>
      </c>
      <c r="D4" s="190" t="s">
        <v>160</v>
      </c>
    </row>
    <row r="5" spans="1:4" ht="45" x14ac:dyDescent="0.2">
      <c r="A5" s="188">
        <v>2</v>
      </c>
      <c r="B5" s="189" t="s">
        <v>161</v>
      </c>
      <c r="C5" s="190" t="s">
        <v>162</v>
      </c>
      <c r="D5" s="19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1.Parking</vt:lpstr>
      <vt:lpstr>2.Program</vt:lpstr>
      <vt:lpstr>3.Lifts </vt:lpstr>
      <vt:lpstr>4.Garbage Room</vt:lpstr>
      <vt:lpstr>4.Conclusions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Santiago de Pablo</cp:lastModifiedBy>
  <cp:revision>0</cp:revision>
  <dcterms:created xsi:type="dcterms:W3CDTF">2026-04-30T09:59:19Z</dcterms:created>
  <dcterms:modified xsi:type="dcterms:W3CDTF">2026-05-01T11:46:05Z</dcterms:modified>
  <dc:language>en-US</dc:language>
</cp:coreProperties>
</file>